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16726\Documents\GitHub\Results Nov25\"/>
    </mc:Choice>
  </mc:AlternateContent>
  <xr:revisionPtr revIDLastSave="0" documentId="13_ncr:1_{441B0B1D-AB18-44BE-BEDB-B83036095EE7}" xr6:coauthVersionLast="47" xr6:coauthVersionMax="47" xr10:uidLastSave="{00000000-0000-0000-0000-000000000000}"/>
  <bookViews>
    <workbookView xWindow="-28920" yWindow="-120" windowWidth="29040" windowHeight="15720" xr2:uid="{F5AEAA14-CF98-425A-8F82-68113BC37443}"/>
  </bookViews>
  <sheets>
    <sheet name="stats_correc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9" i="1" l="1"/>
  <c r="M219" i="1"/>
  <c r="N219" i="1"/>
  <c r="O219" i="1"/>
  <c r="P219" i="1"/>
  <c r="L220" i="1"/>
  <c r="M220" i="1"/>
  <c r="P220" i="1" s="1"/>
  <c r="N220" i="1"/>
  <c r="O220" i="1"/>
  <c r="L221" i="1"/>
  <c r="M221" i="1"/>
  <c r="N221" i="1"/>
  <c r="O221" i="1"/>
  <c r="P221" i="1"/>
  <c r="L222" i="1"/>
  <c r="M222" i="1"/>
  <c r="N222" i="1"/>
  <c r="O222" i="1"/>
  <c r="P222" i="1"/>
  <c r="L19" i="1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L215" i="1"/>
  <c r="M215" i="1"/>
  <c r="L216" i="1"/>
  <c r="M216" i="1"/>
  <c r="L217" i="1"/>
  <c r="M217" i="1"/>
  <c r="L218" i="1"/>
  <c r="M218" i="1"/>
  <c r="M2" i="1"/>
  <c r="L2" i="1"/>
  <c r="N190" i="1" l="1"/>
  <c r="O166" i="1"/>
  <c r="N142" i="1"/>
  <c r="O134" i="1"/>
  <c r="N126" i="1"/>
  <c r="O118" i="1"/>
  <c r="O110" i="1"/>
  <c r="O102" i="1"/>
  <c r="O94" i="1"/>
  <c r="O86" i="1"/>
  <c r="N78" i="1"/>
  <c r="O174" i="1"/>
  <c r="O214" i="1"/>
  <c r="O158" i="1"/>
  <c r="P125" i="1"/>
  <c r="N206" i="1"/>
  <c r="O182" i="1"/>
  <c r="O213" i="1"/>
  <c r="O198" i="1"/>
  <c r="O150" i="1"/>
  <c r="O124" i="1"/>
  <c r="N43" i="1"/>
  <c r="P205" i="1"/>
  <c r="O53" i="1"/>
  <c r="N204" i="1"/>
  <c r="O172" i="1"/>
  <c r="P140" i="1"/>
  <c r="O108" i="1"/>
  <c r="O210" i="1"/>
  <c r="O178" i="1"/>
  <c r="N138" i="1"/>
  <c r="N106" i="1"/>
  <c r="N74" i="1"/>
  <c r="O50" i="1"/>
  <c r="O9" i="1"/>
  <c r="N217" i="1"/>
  <c r="P209" i="1"/>
  <c r="N201" i="1"/>
  <c r="N193" i="1"/>
  <c r="N185" i="1"/>
  <c r="P177" i="1"/>
  <c r="N169" i="1"/>
  <c r="P161" i="1"/>
  <c r="N153" i="1"/>
  <c r="P145" i="1"/>
  <c r="N137" i="1"/>
  <c r="N129" i="1"/>
  <c r="N121" i="1"/>
  <c r="N113" i="1"/>
  <c r="N105" i="1"/>
  <c r="P97" i="1"/>
  <c r="N89" i="1"/>
  <c r="P81" i="1"/>
  <c r="N73" i="1"/>
  <c r="P65" i="1"/>
  <c r="N57" i="1"/>
  <c r="P49" i="1"/>
  <c r="N41" i="1"/>
  <c r="P157" i="1"/>
  <c r="P77" i="1"/>
  <c r="N42" i="1"/>
  <c r="O197" i="1"/>
  <c r="O165" i="1"/>
  <c r="O133" i="1"/>
  <c r="O69" i="1"/>
  <c r="N12" i="1"/>
  <c r="P196" i="1"/>
  <c r="N156" i="1"/>
  <c r="P116" i="1"/>
  <c r="N218" i="1"/>
  <c r="N186" i="1"/>
  <c r="N154" i="1"/>
  <c r="N122" i="1"/>
  <c r="N90" i="1"/>
  <c r="O66" i="1"/>
  <c r="N26" i="1"/>
  <c r="N216" i="1"/>
  <c r="O208" i="1"/>
  <c r="P200" i="1"/>
  <c r="O192" i="1"/>
  <c r="O184" i="1"/>
  <c r="O168" i="1"/>
  <c r="O160" i="1"/>
  <c r="O152" i="1"/>
  <c r="O144" i="1"/>
  <c r="P136" i="1"/>
  <c r="O128" i="1"/>
  <c r="P120" i="1"/>
  <c r="O112" i="1"/>
  <c r="P104" i="1"/>
  <c r="O96" i="1"/>
  <c r="O88" i="1"/>
  <c r="O72" i="1"/>
  <c r="O173" i="1"/>
  <c r="O117" i="1"/>
  <c r="P61" i="1"/>
  <c r="P212" i="1"/>
  <c r="P180" i="1"/>
  <c r="P148" i="1"/>
  <c r="N76" i="1"/>
  <c r="N202" i="1"/>
  <c r="N170" i="1"/>
  <c r="O146" i="1"/>
  <c r="O114" i="1"/>
  <c r="O82" i="1"/>
  <c r="N58" i="1"/>
  <c r="N17" i="1"/>
  <c r="O176" i="1"/>
  <c r="P45" i="1"/>
  <c r="O189" i="1"/>
  <c r="O149" i="1"/>
  <c r="O101" i="1"/>
  <c r="O194" i="1"/>
  <c r="O162" i="1"/>
  <c r="O130" i="1"/>
  <c r="O98" i="1"/>
  <c r="O34" i="1"/>
  <c r="O215" i="1"/>
  <c r="N207" i="1"/>
  <c r="N199" i="1"/>
  <c r="N191" i="1"/>
  <c r="O183" i="1"/>
  <c r="N175" i="1"/>
  <c r="P167" i="1"/>
  <c r="N159" i="1"/>
  <c r="P151" i="1"/>
  <c r="N143" i="1"/>
  <c r="N135" i="1"/>
  <c r="N127" i="1"/>
  <c r="O119" i="1"/>
  <c r="N111" i="1"/>
  <c r="N71" i="1"/>
  <c r="N63" i="1"/>
  <c r="O70" i="1"/>
  <c r="N62" i="1"/>
  <c r="O93" i="1"/>
  <c r="O4" i="1"/>
  <c r="P109" i="1"/>
  <c r="O181" i="1"/>
  <c r="P141" i="1"/>
  <c r="O85" i="1"/>
  <c r="O188" i="1"/>
  <c r="P164" i="1"/>
  <c r="P132" i="1"/>
  <c r="O211" i="1"/>
  <c r="N203" i="1"/>
  <c r="O195" i="1"/>
  <c r="N187" i="1"/>
  <c r="O179" i="1"/>
  <c r="N171" i="1"/>
  <c r="O163" i="1"/>
  <c r="N155" i="1"/>
  <c r="O147" i="1"/>
  <c r="N139" i="1"/>
  <c r="O131" i="1"/>
  <c r="N123" i="1"/>
  <c r="O115" i="1"/>
  <c r="N107" i="1"/>
  <c r="O99" i="1"/>
  <c r="N91" i="1"/>
  <c r="O83" i="1"/>
  <c r="N75" i="1"/>
  <c r="O67" i="1"/>
  <c r="N59" i="1"/>
  <c r="O51" i="1"/>
  <c r="N35" i="1"/>
  <c r="N27" i="1"/>
  <c r="O19" i="1"/>
  <c r="P2" i="1"/>
  <c r="P33" i="1"/>
  <c r="N25" i="1"/>
  <c r="O16" i="1"/>
  <c r="O8" i="1"/>
  <c r="O80" i="1"/>
  <c r="O64" i="1"/>
  <c r="N103" i="1"/>
  <c r="N95" i="1"/>
  <c r="N87" i="1"/>
  <c r="N79" i="1"/>
  <c r="P55" i="1"/>
  <c r="N47" i="1"/>
  <c r="P39" i="1"/>
  <c r="N31" i="1"/>
  <c r="N23" i="1"/>
  <c r="O37" i="1"/>
  <c r="O29" i="1"/>
  <c r="O21" i="1"/>
  <c r="P100" i="1"/>
  <c r="N92" i="1"/>
  <c r="P84" i="1"/>
  <c r="P68" i="1"/>
  <c r="O60" i="1"/>
  <c r="P52" i="1"/>
  <c r="O44" i="1"/>
  <c r="P36" i="1"/>
  <c r="O28" i="1"/>
  <c r="P20" i="1"/>
  <c r="N11" i="1"/>
  <c r="O3" i="1"/>
  <c r="O18" i="1"/>
  <c r="O10" i="1"/>
  <c r="N19" i="1"/>
  <c r="P56" i="1"/>
  <c r="O48" i="1"/>
  <c r="O40" i="1"/>
  <c r="O32" i="1"/>
  <c r="O24" i="1"/>
  <c r="N15" i="1"/>
  <c r="P7" i="1"/>
  <c r="O14" i="1"/>
  <c r="O6" i="1"/>
  <c r="O54" i="1"/>
  <c r="N46" i="1"/>
  <c r="O38" i="1"/>
  <c r="N30" i="1"/>
  <c r="O22" i="1"/>
  <c r="O13" i="1"/>
  <c r="O5" i="1"/>
  <c r="P189" i="1"/>
  <c r="N99" i="1"/>
  <c r="P24" i="1"/>
  <c r="O209" i="1"/>
  <c r="O193" i="1"/>
  <c r="O177" i="1"/>
  <c r="O161" i="1"/>
  <c r="O145" i="1"/>
  <c r="O129" i="1"/>
  <c r="O113" i="1"/>
  <c r="O97" i="1"/>
  <c r="O81" i="1"/>
  <c r="O65" i="1"/>
  <c r="O49" i="1"/>
  <c r="O33" i="1"/>
  <c r="O17" i="1"/>
  <c r="P184" i="1"/>
  <c r="N94" i="1"/>
  <c r="N179" i="1"/>
  <c r="P93" i="1"/>
  <c r="N14" i="1"/>
  <c r="O207" i="1"/>
  <c r="O191" i="1"/>
  <c r="O175" i="1"/>
  <c r="O159" i="1"/>
  <c r="O143" i="1"/>
  <c r="O127" i="1"/>
  <c r="O111" i="1"/>
  <c r="O95" i="1"/>
  <c r="O79" i="1"/>
  <c r="O63" i="1"/>
  <c r="O47" i="1"/>
  <c r="O31" i="1"/>
  <c r="O15" i="1"/>
  <c r="N168" i="1"/>
  <c r="P40" i="1"/>
  <c r="N174" i="1"/>
  <c r="P88" i="1"/>
  <c r="P13" i="1"/>
  <c r="O206" i="1"/>
  <c r="O190" i="1"/>
  <c r="O142" i="1"/>
  <c r="O126" i="1"/>
  <c r="O78" i="1"/>
  <c r="O62" i="1"/>
  <c r="O46" i="1"/>
  <c r="O30" i="1"/>
  <c r="P173" i="1"/>
  <c r="N8" i="1"/>
  <c r="O205" i="1"/>
  <c r="O157" i="1"/>
  <c r="O141" i="1"/>
  <c r="O125" i="1"/>
  <c r="O109" i="1"/>
  <c r="O77" i="1"/>
  <c r="O61" i="1"/>
  <c r="O45" i="1"/>
  <c r="P168" i="1"/>
  <c r="N10" i="1"/>
  <c r="O204" i="1"/>
  <c r="O156" i="1"/>
  <c r="O140" i="1"/>
  <c r="O92" i="1"/>
  <c r="O76" i="1"/>
  <c r="O12" i="1"/>
  <c r="N163" i="1"/>
  <c r="P72" i="1"/>
  <c r="O2" i="1"/>
  <c r="O203" i="1"/>
  <c r="O187" i="1"/>
  <c r="O171" i="1"/>
  <c r="O155" i="1"/>
  <c r="O139" i="1"/>
  <c r="O123" i="1"/>
  <c r="O107" i="1"/>
  <c r="O91" i="1"/>
  <c r="O75" i="1"/>
  <c r="O59" i="1"/>
  <c r="O43" i="1"/>
  <c r="O27" i="1"/>
  <c r="O11" i="1"/>
  <c r="N147" i="1"/>
  <c r="N72" i="1"/>
  <c r="O218" i="1"/>
  <c r="O202" i="1"/>
  <c r="O186" i="1"/>
  <c r="O170" i="1"/>
  <c r="O154" i="1"/>
  <c r="O138" i="1"/>
  <c r="O122" i="1"/>
  <c r="O106" i="1"/>
  <c r="O90" i="1"/>
  <c r="O74" i="1"/>
  <c r="O58" i="1"/>
  <c r="O42" i="1"/>
  <c r="O26" i="1"/>
  <c r="N67" i="1"/>
  <c r="O217" i="1"/>
  <c r="O201" i="1"/>
  <c r="O185" i="1"/>
  <c r="O169" i="1"/>
  <c r="O153" i="1"/>
  <c r="O137" i="1"/>
  <c r="O121" i="1"/>
  <c r="O105" i="1"/>
  <c r="O89" i="1"/>
  <c r="O73" i="1"/>
  <c r="O57" i="1"/>
  <c r="O41" i="1"/>
  <c r="O25" i="1"/>
  <c r="O216" i="1"/>
  <c r="O200" i="1"/>
  <c r="O136" i="1"/>
  <c r="O120" i="1"/>
  <c r="O104" i="1"/>
  <c r="O56" i="1"/>
  <c r="P216" i="1"/>
  <c r="O199" i="1"/>
  <c r="O167" i="1"/>
  <c r="O151" i="1"/>
  <c r="O135" i="1"/>
  <c r="O103" i="1"/>
  <c r="O87" i="1"/>
  <c r="O71" i="1"/>
  <c r="O55" i="1"/>
  <c r="O39" i="1"/>
  <c r="O23" i="1"/>
  <c r="O7" i="1"/>
  <c r="N131" i="1"/>
  <c r="N211" i="1"/>
  <c r="N51" i="1"/>
  <c r="O212" i="1"/>
  <c r="O196" i="1"/>
  <c r="O180" i="1"/>
  <c r="O164" i="1"/>
  <c r="O148" i="1"/>
  <c r="O132" i="1"/>
  <c r="O116" i="1"/>
  <c r="O100" i="1"/>
  <c r="O84" i="1"/>
  <c r="O68" i="1"/>
  <c r="O52" i="1"/>
  <c r="O36" i="1"/>
  <c r="O20" i="1"/>
  <c r="O35" i="1"/>
  <c r="N2" i="1"/>
  <c r="N83" i="1"/>
  <c r="P206" i="1"/>
  <c r="P190" i="1"/>
  <c r="N182" i="1"/>
  <c r="P182" i="1"/>
  <c r="N166" i="1"/>
  <c r="P166" i="1"/>
  <c r="P142" i="1"/>
  <c r="P126" i="1"/>
  <c r="P110" i="1"/>
  <c r="N86" i="1"/>
  <c r="P86" i="1"/>
  <c r="P62" i="1"/>
  <c r="N38" i="1"/>
  <c r="P38" i="1"/>
  <c r="N6" i="1"/>
  <c r="P6" i="1"/>
  <c r="N198" i="1"/>
  <c r="P198" i="1"/>
  <c r="N150" i="1"/>
  <c r="P150" i="1"/>
  <c r="P18" i="1"/>
  <c r="N24" i="1"/>
  <c r="P34" i="1"/>
  <c r="N40" i="1"/>
  <c r="P50" i="1"/>
  <c r="P82" i="1"/>
  <c r="N88" i="1"/>
  <c r="P98" i="1"/>
  <c r="N104" i="1"/>
  <c r="P114" i="1"/>
  <c r="P130" i="1"/>
  <c r="N152" i="1"/>
  <c r="P178" i="1"/>
  <c r="N200" i="1"/>
  <c r="N3" i="1"/>
  <c r="N116" i="1"/>
  <c r="N132" i="1"/>
  <c r="N180" i="1"/>
  <c r="N196" i="1"/>
  <c r="N212" i="1"/>
  <c r="N148" i="1"/>
  <c r="N164" i="1"/>
  <c r="P137" i="1"/>
  <c r="P153" i="1"/>
  <c r="P169" i="1"/>
  <c r="P185" i="1"/>
  <c r="P201" i="1"/>
  <c r="P217" i="1"/>
  <c r="P10" i="1"/>
  <c r="N56" i="1"/>
  <c r="N136" i="1"/>
  <c r="P26" i="1"/>
  <c r="N18" i="1"/>
  <c r="N120" i="1"/>
  <c r="P146" i="1"/>
  <c r="P194" i="1"/>
  <c r="N66" i="1"/>
  <c r="N82" i="1"/>
  <c r="P66" i="1"/>
  <c r="P162" i="1"/>
  <c r="N184" i="1"/>
  <c r="P210" i="1"/>
  <c r="N115" i="1"/>
  <c r="N214" i="1"/>
  <c r="P214" i="1"/>
  <c r="P174" i="1"/>
  <c r="P158" i="1"/>
  <c r="N134" i="1"/>
  <c r="P134" i="1"/>
  <c r="N118" i="1"/>
  <c r="P118" i="1"/>
  <c r="N102" i="1"/>
  <c r="P102" i="1"/>
  <c r="P94" i="1"/>
  <c r="P78" i="1"/>
  <c r="N70" i="1"/>
  <c r="P70" i="1"/>
  <c r="N54" i="1"/>
  <c r="P54" i="1"/>
  <c r="P46" i="1"/>
  <c r="P30" i="1"/>
  <c r="N22" i="1"/>
  <c r="P22" i="1"/>
  <c r="P14" i="1"/>
  <c r="N158" i="1"/>
  <c r="N213" i="1"/>
  <c r="P213" i="1"/>
  <c r="N205" i="1"/>
  <c r="N197" i="1"/>
  <c r="P197" i="1"/>
  <c r="N189" i="1"/>
  <c r="N181" i="1"/>
  <c r="P181" i="1"/>
  <c r="N173" i="1"/>
  <c r="N165" i="1"/>
  <c r="P165" i="1"/>
  <c r="N157" i="1"/>
  <c r="N149" i="1"/>
  <c r="P149" i="1"/>
  <c r="N141" i="1"/>
  <c r="N133" i="1"/>
  <c r="P133" i="1"/>
  <c r="N125" i="1"/>
  <c r="N117" i="1"/>
  <c r="P117" i="1"/>
  <c r="N109" i="1"/>
  <c r="N101" i="1"/>
  <c r="P101" i="1"/>
  <c r="N93" i="1"/>
  <c r="N85" i="1"/>
  <c r="P85" i="1"/>
  <c r="N77" i="1"/>
  <c r="N69" i="1"/>
  <c r="P69" i="1"/>
  <c r="N61" i="1"/>
  <c r="N53" i="1"/>
  <c r="P53" i="1"/>
  <c r="N45" i="1"/>
  <c r="N37" i="1"/>
  <c r="P37" i="1"/>
  <c r="N29" i="1"/>
  <c r="N21" i="1"/>
  <c r="P21" i="1"/>
  <c r="N13" i="1"/>
  <c r="N5" i="1"/>
  <c r="P5" i="1"/>
  <c r="N195" i="1"/>
  <c r="P152" i="1"/>
  <c r="N110" i="1"/>
  <c r="P29" i="1"/>
  <c r="P215" i="1"/>
  <c r="P199" i="1"/>
  <c r="P183" i="1"/>
  <c r="P87" i="1"/>
  <c r="N210" i="1"/>
  <c r="P204" i="1"/>
  <c r="P188" i="1"/>
  <c r="N178" i="1"/>
  <c r="P172" i="1"/>
  <c r="N162" i="1"/>
  <c r="P156" i="1"/>
  <c r="N130" i="1"/>
  <c r="P124" i="1"/>
  <c r="N114" i="1"/>
  <c r="P108" i="1"/>
  <c r="N98" i="1"/>
  <c r="P92" i="1"/>
  <c r="N7" i="1"/>
  <c r="P76" i="1"/>
  <c r="P60" i="1"/>
  <c r="P12" i="1"/>
  <c r="N215" i="1"/>
  <c r="N183" i="1"/>
  <c r="N167" i="1"/>
  <c r="P129" i="1"/>
  <c r="P113" i="1"/>
  <c r="N55" i="1"/>
  <c r="N188" i="1"/>
  <c r="N172" i="1"/>
  <c r="N140" i="1"/>
  <c r="N124" i="1"/>
  <c r="N108" i="1"/>
  <c r="N60" i="1"/>
  <c r="N44" i="1"/>
  <c r="N28" i="1"/>
  <c r="P135" i="1"/>
  <c r="P71" i="1"/>
  <c r="P23" i="1"/>
  <c r="N50" i="1"/>
  <c r="P44" i="1"/>
  <c r="P193" i="1"/>
  <c r="N151" i="1"/>
  <c r="N119" i="1"/>
  <c r="N39" i="1"/>
  <c r="P17" i="1"/>
  <c r="N209" i="1"/>
  <c r="P203" i="1"/>
  <c r="P187" i="1"/>
  <c r="N177" i="1"/>
  <c r="P171" i="1"/>
  <c r="N161" i="1"/>
  <c r="P155" i="1"/>
  <c r="N145" i="1"/>
  <c r="P139" i="1"/>
  <c r="P123" i="1"/>
  <c r="P107" i="1"/>
  <c r="N97" i="1"/>
  <c r="P91" i="1"/>
  <c r="N81" i="1"/>
  <c r="P75" i="1"/>
  <c r="N65" i="1"/>
  <c r="P59" i="1"/>
  <c r="N49" i="1"/>
  <c r="P43" i="1"/>
  <c r="N33" i="1"/>
  <c r="P27" i="1"/>
  <c r="P11" i="1"/>
  <c r="P119" i="1"/>
  <c r="P103" i="1"/>
  <c r="N194" i="1"/>
  <c r="N146" i="1"/>
  <c r="N34" i="1"/>
  <c r="P28" i="1"/>
  <c r="P208" i="1"/>
  <c r="P192" i="1"/>
  <c r="P176" i="1"/>
  <c r="P160" i="1"/>
  <c r="P144" i="1"/>
  <c r="P128" i="1"/>
  <c r="P112" i="1"/>
  <c r="P96" i="1"/>
  <c r="P80" i="1"/>
  <c r="P64" i="1"/>
  <c r="P48" i="1"/>
  <c r="P32" i="1"/>
  <c r="P16" i="1"/>
  <c r="P218" i="1"/>
  <c r="N208" i="1"/>
  <c r="P202" i="1"/>
  <c r="N192" i="1"/>
  <c r="P186" i="1"/>
  <c r="N176" i="1"/>
  <c r="P170" i="1"/>
  <c r="N160" i="1"/>
  <c r="P154" i="1"/>
  <c r="N144" i="1"/>
  <c r="P138" i="1"/>
  <c r="N128" i="1"/>
  <c r="P122" i="1"/>
  <c r="N112" i="1"/>
  <c r="P106" i="1"/>
  <c r="N96" i="1"/>
  <c r="P90" i="1"/>
  <c r="N80" i="1"/>
  <c r="P74" i="1"/>
  <c r="N64" i="1"/>
  <c r="P58" i="1"/>
  <c r="N48" i="1"/>
  <c r="P42" i="1"/>
  <c r="N32" i="1"/>
  <c r="N16" i="1"/>
  <c r="P207" i="1"/>
  <c r="P191" i="1"/>
  <c r="P175" i="1"/>
  <c r="P159" i="1"/>
  <c r="P143" i="1"/>
  <c r="P127" i="1"/>
  <c r="P111" i="1"/>
  <c r="P95" i="1"/>
  <c r="P79" i="1"/>
  <c r="P63" i="1"/>
  <c r="P47" i="1"/>
  <c r="P31" i="1"/>
  <c r="P15" i="1"/>
  <c r="P4" i="1"/>
  <c r="P121" i="1"/>
  <c r="P105" i="1"/>
  <c r="P89" i="1"/>
  <c r="P73" i="1"/>
  <c r="P57" i="1"/>
  <c r="P41" i="1"/>
  <c r="P25" i="1"/>
  <c r="P9" i="1"/>
  <c r="N4" i="1"/>
  <c r="N52" i="1"/>
  <c r="N36" i="1"/>
  <c r="N20" i="1"/>
  <c r="N9" i="1"/>
  <c r="P3" i="1"/>
  <c r="N100" i="1"/>
  <c r="N84" i="1"/>
  <c r="N68" i="1"/>
  <c r="P211" i="1"/>
  <c r="P195" i="1"/>
  <c r="P179" i="1"/>
  <c r="P163" i="1"/>
  <c r="P147" i="1"/>
  <c r="P131" i="1"/>
  <c r="P115" i="1"/>
  <c r="P99" i="1"/>
  <c r="P83" i="1"/>
  <c r="P67" i="1"/>
  <c r="P51" i="1"/>
  <c r="P35" i="1"/>
  <c r="P19" i="1"/>
  <c r="P8" i="1"/>
</calcChain>
</file>

<file path=xl/sharedStrings.xml><?xml version="1.0" encoding="utf-8"?>
<sst xmlns="http://schemas.openxmlformats.org/spreadsheetml/2006/main" count="1085" uniqueCount="90">
  <si>
    <t>test</t>
  </si>
  <si>
    <t>model</t>
  </si>
  <si>
    <t>avg1</t>
  </si>
  <si>
    <t>avg2</t>
  </si>
  <si>
    <t>pvalue</t>
  </si>
  <si>
    <t>stattest</t>
  </si>
  <si>
    <t>group</t>
  </si>
  <si>
    <t>p_corrected</t>
  </si>
  <si>
    <t>corrected test</t>
  </si>
  <si>
    <t>corrected model</t>
  </si>
  <si>
    <t>model vs human</t>
  </si>
  <si>
    <t>Llama3.1-70B-Instruct Q</t>
  </si>
  <si>
    <t>mcnemar</t>
  </si>
  <si>
    <t>3t</t>
  </si>
  <si>
    <t>Llama3.1-405B-Instruct Q</t>
  </si>
  <si>
    <t>Llama3.3-70B-Instruct Q</t>
  </si>
  <si>
    <t>gpt-4o-mini Q</t>
  </si>
  <si>
    <t>gpt-4o Q</t>
  </si>
  <si>
    <t>met vs sim</t>
  </si>
  <si>
    <t>glove add_lem</t>
  </si>
  <si>
    <t>chi2</t>
  </si>
  <si>
    <t>2m</t>
  </si>
  <si>
    <t>human</t>
  </si>
  <si>
    <t>sbert2_long</t>
  </si>
  <si>
    <t>4t</t>
  </si>
  <si>
    <t>GPT-Neo-1.3B m2</t>
  </si>
  <si>
    <t>Llama2-7B m2</t>
  </si>
  <si>
    <t>Llama2-13B m2</t>
  </si>
  <si>
    <t>Llama2-70B m2</t>
  </si>
  <si>
    <t>Llama2-7B-chat m2</t>
  </si>
  <si>
    <t>Llama2-13B-chat m2</t>
  </si>
  <si>
    <t>5m</t>
  </si>
  <si>
    <t>Llama-3-70B-Instruct-Turbo m2</t>
  </si>
  <si>
    <t>Llama-3.1-70B-Instruct-Turbo m2</t>
  </si>
  <si>
    <t>Llama-3-70B-Instruct c</t>
  </si>
  <si>
    <t>Llama-3.1-405B-Instruct-Turbo m2</t>
  </si>
  <si>
    <t>Llama-3.1-70B-Instruct c</t>
  </si>
  <si>
    <t>Llama-3.3-70B-Instruct-Turbo m2</t>
  </si>
  <si>
    <t>Llama-3.1-405B-Instruct c</t>
  </si>
  <si>
    <t>Llama2-70B mixedprompt</t>
  </si>
  <si>
    <t>Llama-3.3-70B-Instruct c</t>
  </si>
  <si>
    <t>Llama2-13B-chat mixedprompt</t>
  </si>
  <si>
    <t>3q</t>
  </si>
  <si>
    <t>Llama-3.1-70B-Instruct-Turbo mixedprompt</t>
  </si>
  <si>
    <t>Llama-3.1-405B-Instruct-Turbo mixedprompt</t>
  </si>
  <si>
    <t>Llama-3.3-70B-Instruct-Turbo mixedprompt</t>
  </si>
  <si>
    <t>GPT-4o-mini mixedprompt</t>
  </si>
  <si>
    <t>GPT-4o mixedprompt</t>
  </si>
  <si>
    <t>o1-mini mixedprompt</t>
  </si>
  <si>
    <t>Llama-3-70B-Instruct cf</t>
  </si>
  <si>
    <t>7m</t>
  </si>
  <si>
    <t>Llama-3.1-70B-Instruct cf</t>
  </si>
  <si>
    <t>Llama-3.1-405B-Instruct cf</t>
  </si>
  <si>
    <t>Llama-3.3-70B-Instruct cf</t>
  </si>
  <si>
    <t>3m</t>
  </si>
  <si>
    <t>2t</t>
  </si>
  <si>
    <t>neg vs intens</t>
  </si>
  <si>
    <t>5t</t>
  </si>
  <si>
    <t>4m</t>
  </si>
  <si>
    <t>7q</t>
  </si>
  <si>
    <t>past vs pres</t>
  </si>
  <si>
    <t>4q</t>
  </si>
  <si>
    <t>5q</t>
  </si>
  <si>
    <t>Llama-3-70B-Instruct</t>
  </si>
  <si>
    <t>Llama-3.1-70B-Instruct</t>
  </si>
  <si>
    <t>Llama-3.1-405B-Instruct</t>
  </si>
  <si>
    <t>Llama-3.3-70B-Instruct</t>
  </si>
  <si>
    <t>low vs high concreteness</t>
  </si>
  <si>
    <t>M1 vs M2</t>
  </si>
  <si>
    <t>M1 vs M3</t>
  </si>
  <si>
    <t>M1 vs M4</t>
  </si>
  <si>
    <t>M1 vs M5</t>
  </si>
  <si>
    <t>M2 vs M3</t>
  </si>
  <si>
    <t>M2 vs M4</t>
  </si>
  <si>
    <t>M2 vs M5</t>
  </si>
  <si>
    <t>M3 vs M4</t>
  </si>
  <si>
    <t>M3 vs M5</t>
  </si>
  <si>
    <t>M4 vs M5</t>
  </si>
  <si>
    <t>c vs cf</t>
  </si>
  <si>
    <t>not neg vs not intens</t>
  </si>
  <si>
    <t>not neg vs antonym neg</t>
  </si>
  <si>
    <t>antonym neg vs antonym intens</t>
  </si>
  <si>
    <t>not intens vs antonym intens</t>
  </si>
  <si>
    <t>lit vs fig</t>
  </si>
  <si>
    <t>2q</t>
  </si>
  <si>
    <t>q_test_total</t>
  </si>
  <si>
    <t>human1</t>
  </si>
  <si>
    <t>human2</t>
  </si>
  <si>
    <t>human3</t>
  </si>
  <si>
    <t>human4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</si>
</sst>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24CB-2DAC-4901-BC27-8868732026F6}">
  <dimension ref="A1:P222"/>
  <sheetViews>
    <sheetView tabSelected="1" workbookViewId="0"/>
  </sheetViews>
  <sheetFormatPr defaultRowHeight="14.5" x14ac:dyDescent="0.35"/>
  <cols>
    <col min="2" max="2" width="39.08984375" bestFit="1" customWidth="1"/>
    <col min="8" max="13" width="0" hidden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N1" t="s">
        <v>7</v>
      </c>
      <c r="O1" t="s">
        <v>8</v>
      </c>
      <c r="P1" t="s">
        <v>9</v>
      </c>
    </row>
    <row r="2" spans="1:16" x14ac:dyDescent="0.35">
      <c r="A2" t="s">
        <v>10</v>
      </c>
      <c r="B2" t="s">
        <v>11</v>
      </c>
      <c r="C2">
        <v>0.91361256499999999</v>
      </c>
      <c r="D2">
        <v>0.94585152800000005</v>
      </c>
      <c r="E2">
        <v>1.5581709999999999E-3</v>
      </c>
      <c r="F2" t="s">
        <v>12</v>
      </c>
      <c r="G2">
        <v>1</v>
      </c>
      <c r="H2">
        <v>5.4415400000000003E-2</v>
      </c>
      <c r="I2" t="s">
        <v>62</v>
      </c>
      <c r="J2" t="s">
        <v>39</v>
      </c>
      <c r="L2" t="str">
        <f>I2&amp;J2</f>
        <v>5qLlama2-70B mixedprompt</v>
      </c>
      <c r="M2" t="str">
        <f>G2&amp;B2</f>
        <v>1Llama3.1-70B-Instruct Q</v>
      </c>
      <c r="N2">
        <f>INDEX(H:H,MATCH(M2,L:L,0))</f>
        <v>3.8954274999999901E-3</v>
      </c>
      <c r="O2">
        <f>_xlfn.IFNA(INDEX(I:I,MATCH(M2,L:L,0)),"")</f>
        <v>1</v>
      </c>
      <c r="P2" t="str">
        <f>INDEX(J:J,MATCH(M2,L:L,0))</f>
        <v>Llama3.1-70B-Instruct Q</v>
      </c>
    </row>
    <row r="3" spans="1:16" x14ac:dyDescent="0.35">
      <c r="A3" t="s">
        <v>10</v>
      </c>
      <c r="B3" t="s">
        <v>14</v>
      </c>
      <c r="C3">
        <v>0.93193717300000001</v>
      </c>
      <c r="D3">
        <v>0.94585152800000005</v>
      </c>
      <c r="E3">
        <v>0.17420540500000001</v>
      </c>
      <c r="F3" t="s">
        <v>12</v>
      </c>
      <c r="G3">
        <v>1</v>
      </c>
      <c r="H3">
        <v>0.34929884114285698</v>
      </c>
      <c r="I3" t="s">
        <v>62</v>
      </c>
      <c r="J3" t="s">
        <v>41</v>
      </c>
      <c r="L3" t="str">
        <f t="shared" ref="L3:L66" si="0">I3&amp;J3</f>
        <v>5qLlama2-13B-chat mixedprompt</v>
      </c>
      <c r="M3" t="str">
        <f t="shared" ref="M3:M66" si="1">G3&amp;B3</f>
        <v>1Llama3.1-405B-Instruct Q</v>
      </c>
      <c r="N3">
        <f t="shared" ref="N3:N66" si="2">INDEX(H:H,MATCH(M3,L:L,0))</f>
        <v>0.21775675624999999</v>
      </c>
      <c r="O3">
        <f t="shared" ref="O3:O66" si="3">_xlfn.IFNA(INDEX(I:I,MATCH(M3,L:L,0)),"")</f>
        <v>1</v>
      </c>
      <c r="P3" t="str">
        <f t="shared" ref="P3:P66" si="4">INDEX(J:J,MATCH(M3,L:L,0))</f>
        <v>Llama3.1-405B-Instruct Q</v>
      </c>
    </row>
    <row r="4" spans="1:16" x14ac:dyDescent="0.35">
      <c r="A4" t="s">
        <v>10</v>
      </c>
      <c r="B4" t="s">
        <v>15</v>
      </c>
      <c r="C4">
        <v>0.92059336800000002</v>
      </c>
      <c r="D4">
        <v>0.94585152800000005</v>
      </c>
      <c r="E4">
        <v>1.1275812E-2</v>
      </c>
      <c r="F4" t="s">
        <v>12</v>
      </c>
      <c r="G4">
        <v>1</v>
      </c>
      <c r="H4">
        <v>0.31476461280000001</v>
      </c>
      <c r="I4" t="s">
        <v>62</v>
      </c>
      <c r="J4" t="s">
        <v>43</v>
      </c>
      <c r="L4" t="str">
        <f t="shared" si="0"/>
        <v>5qLlama-3.1-70B-Instruct-Turbo mixedprompt</v>
      </c>
      <c r="M4" t="str">
        <f t="shared" si="1"/>
        <v>1Llama3.3-70B-Instruct Q</v>
      </c>
      <c r="N4">
        <f t="shared" si="2"/>
        <v>1.8793020000000001E-2</v>
      </c>
      <c r="O4">
        <f t="shared" si="3"/>
        <v>1</v>
      </c>
      <c r="P4" t="str">
        <f t="shared" si="4"/>
        <v>Llama3.3-70B-Instruct Q</v>
      </c>
    </row>
    <row r="5" spans="1:16" x14ac:dyDescent="0.35">
      <c r="A5" t="s">
        <v>10</v>
      </c>
      <c r="B5" t="s">
        <v>16</v>
      </c>
      <c r="C5">
        <v>0.88045375199999998</v>
      </c>
      <c r="D5">
        <v>0.94585152800000005</v>
      </c>
      <c r="E5" s="1">
        <v>2.2200000000000002E-9</v>
      </c>
      <c r="F5" t="s">
        <v>12</v>
      </c>
      <c r="G5">
        <v>1</v>
      </c>
      <c r="H5">
        <v>5.4415400000000003E-2</v>
      </c>
      <c r="I5" t="s">
        <v>62</v>
      </c>
      <c r="J5" t="s">
        <v>44</v>
      </c>
      <c r="L5" t="str">
        <f t="shared" si="0"/>
        <v>5qLlama-3.1-405B-Instruct-Turbo mixedprompt</v>
      </c>
      <c r="M5" t="str">
        <f t="shared" si="1"/>
        <v>1gpt-4o-mini Q</v>
      </c>
      <c r="N5">
        <f t="shared" si="2"/>
        <v>1.11E-8</v>
      </c>
      <c r="O5">
        <f t="shared" si="3"/>
        <v>1</v>
      </c>
      <c r="P5" t="str">
        <f t="shared" si="4"/>
        <v>gpt-4o-mini Q</v>
      </c>
    </row>
    <row r="6" spans="1:16" x14ac:dyDescent="0.35">
      <c r="A6" t="s">
        <v>10</v>
      </c>
      <c r="B6" t="s">
        <v>17</v>
      </c>
      <c r="C6">
        <v>0.94938918000000005</v>
      </c>
      <c r="D6">
        <v>0.94585152800000005</v>
      </c>
      <c r="E6">
        <v>0.76879180999999996</v>
      </c>
      <c r="F6" t="s">
        <v>12</v>
      </c>
      <c r="G6">
        <v>1</v>
      </c>
      <c r="H6">
        <v>0.19494208266666599</v>
      </c>
      <c r="I6" t="s">
        <v>62</v>
      </c>
      <c r="J6" t="s">
        <v>45</v>
      </c>
      <c r="L6" t="str">
        <f t="shared" si="0"/>
        <v>5qLlama-3.3-70B-Instruct-Turbo mixedprompt</v>
      </c>
      <c r="M6" t="str">
        <f t="shared" si="1"/>
        <v>1gpt-4o Q</v>
      </c>
      <c r="N6">
        <f t="shared" si="2"/>
        <v>0.76879180999999996</v>
      </c>
      <c r="O6">
        <f t="shared" si="3"/>
        <v>1</v>
      </c>
      <c r="P6" t="str">
        <f t="shared" si="4"/>
        <v>gpt-4o Q</v>
      </c>
    </row>
    <row r="7" spans="1:16" x14ac:dyDescent="0.35">
      <c r="A7" t="s">
        <v>18</v>
      </c>
      <c r="B7" t="s">
        <v>19</v>
      </c>
      <c r="C7">
        <v>0.53638215099999997</v>
      </c>
      <c r="D7">
        <v>0.60714285700000004</v>
      </c>
      <c r="E7" s="1">
        <v>7.2399999999999997E-7</v>
      </c>
      <c r="F7" t="s">
        <v>20</v>
      </c>
      <c r="G7" t="s">
        <v>21</v>
      </c>
      <c r="H7">
        <v>0.44509648800000001</v>
      </c>
      <c r="I7" t="s">
        <v>62</v>
      </c>
      <c r="J7" t="s">
        <v>46</v>
      </c>
      <c r="L7" t="str">
        <f t="shared" si="0"/>
        <v>5qGPT-4o-mini mixedprompt</v>
      </c>
      <c r="M7" t="str">
        <f t="shared" si="1"/>
        <v>2mglove add_lem</v>
      </c>
      <c r="N7">
        <f t="shared" si="2"/>
        <v>8.6879999999999899E-7</v>
      </c>
      <c r="O7" t="str">
        <f t="shared" si="3"/>
        <v>2m</v>
      </c>
      <c r="P7" t="str">
        <f t="shared" si="4"/>
        <v>glove add_lem</v>
      </c>
    </row>
    <row r="8" spans="1:16" x14ac:dyDescent="0.35">
      <c r="A8" t="s">
        <v>18</v>
      </c>
      <c r="B8" t="s">
        <v>23</v>
      </c>
      <c r="C8">
        <v>0.58619246899999999</v>
      </c>
      <c r="D8">
        <v>0.72886597900000005</v>
      </c>
      <c r="E8" s="1">
        <v>9.7799999999999999E-31</v>
      </c>
      <c r="F8" t="s">
        <v>20</v>
      </c>
      <c r="G8" t="s">
        <v>21</v>
      </c>
      <c r="H8">
        <v>0.31476461280000001</v>
      </c>
      <c r="I8" t="s">
        <v>62</v>
      </c>
      <c r="J8" t="s">
        <v>47</v>
      </c>
      <c r="L8" t="str">
        <f t="shared" si="0"/>
        <v>5qGPT-4o mixedprompt</v>
      </c>
      <c r="M8" t="str">
        <f t="shared" si="1"/>
        <v>2msbert2_long</v>
      </c>
      <c r="N8">
        <f t="shared" si="2"/>
        <v>5.8680000000000003E-30</v>
      </c>
      <c r="O8" t="str">
        <f t="shared" si="3"/>
        <v>2m</v>
      </c>
      <c r="P8" t="str">
        <f t="shared" si="4"/>
        <v>sbert2_long</v>
      </c>
    </row>
    <row r="9" spans="1:16" x14ac:dyDescent="0.35">
      <c r="A9" t="s">
        <v>18</v>
      </c>
      <c r="B9" t="s">
        <v>25</v>
      </c>
      <c r="C9">
        <v>0.56750348699999997</v>
      </c>
      <c r="D9">
        <v>0.637113402</v>
      </c>
      <c r="E9" s="1">
        <v>1.74E-8</v>
      </c>
      <c r="F9" t="s">
        <v>20</v>
      </c>
      <c r="H9">
        <v>0.34638384933333299</v>
      </c>
      <c r="I9" t="s">
        <v>62</v>
      </c>
      <c r="J9" t="s">
        <v>48</v>
      </c>
      <c r="L9" t="str">
        <f t="shared" si="0"/>
        <v>5qo1-mini mixedprompt</v>
      </c>
      <c r="M9" t="str">
        <f t="shared" si="1"/>
        <v>GPT-Neo-1.3B m2</v>
      </c>
      <c r="N9">
        <f t="shared" si="2"/>
        <v>0</v>
      </c>
      <c r="O9">
        <f t="shared" si="3"/>
        <v>0</v>
      </c>
      <c r="P9" t="str">
        <f t="shared" si="4"/>
        <v>GPT-Neo-1.3B m2</v>
      </c>
    </row>
    <row r="10" spans="1:16" x14ac:dyDescent="0.35">
      <c r="A10" t="s">
        <v>18</v>
      </c>
      <c r="B10" t="s">
        <v>26</v>
      </c>
      <c r="C10">
        <v>0.64560669500000001</v>
      </c>
      <c r="D10">
        <v>0.68969072200000003</v>
      </c>
      <c r="E10">
        <v>1.45217E-4</v>
      </c>
      <c r="F10" t="s">
        <v>20</v>
      </c>
      <c r="H10">
        <v>0.33580326300000002</v>
      </c>
      <c r="I10">
        <v>6</v>
      </c>
      <c r="J10" t="s">
        <v>86</v>
      </c>
      <c r="L10" t="str">
        <f t="shared" si="0"/>
        <v>6human1</v>
      </c>
      <c r="M10" t="str">
        <f t="shared" si="1"/>
        <v>Llama2-7B m2</v>
      </c>
      <c r="N10">
        <f>INDEX(H:H,MATCH(M10,L:L,0))</f>
        <v>0</v>
      </c>
      <c r="O10">
        <f t="shared" si="3"/>
        <v>0</v>
      </c>
      <c r="P10" t="str">
        <f t="shared" si="4"/>
        <v>Llama2-7B m2</v>
      </c>
    </row>
    <row r="11" spans="1:16" x14ac:dyDescent="0.35">
      <c r="A11" t="s">
        <v>18</v>
      </c>
      <c r="B11" t="s">
        <v>27</v>
      </c>
      <c r="C11">
        <v>0.66066945600000004</v>
      </c>
      <c r="D11">
        <v>0.69742267999999996</v>
      </c>
      <c r="E11">
        <v>1.1414509999999999E-3</v>
      </c>
      <c r="F11" t="s">
        <v>20</v>
      </c>
      <c r="H11">
        <v>0.16207595999999999</v>
      </c>
      <c r="I11">
        <v>6</v>
      </c>
      <c r="J11" t="s">
        <v>87</v>
      </c>
      <c r="L11" t="str">
        <f t="shared" si="0"/>
        <v>6human2</v>
      </c>
      <c r="M11" t="str">
        <f t="shared" si="1"/>
        <v>Llama2-13B m2</v>
      </c>
      <c r="N11">
        <f t="shared" si="2"/>
        <v>0</v>
      </c>
      <c r="O11">
        <f t="shared" si="3"/>
        <v>0</v>
      </c>
      <c r="P11" t="str">
        <f t="shared" si="4"/>
        <v>Llama2-13B m2</v>
      </c>
    </row>
    <row r="12" spans="1:16" x14ac:dyDescent="0.35">
      <c r="A12" t="s">
        <v>18</v>
      </c>
      <c r="B12" t="s">
        <v>28</v>
      </c>
      <c r="C12">
        <v>0.69065550899999995</v>
      </c>
      <c r="D12">
        <v>0.73092783500000003</v>
      </c>
      <c r="E12">
        <v>3.0015E-4</v>
      </c>
      <c r="F12" t="s">
        <v>20</v>
      </c>
      <c r="H12">
        <v>0.33580326300000002</v>
      </c>
      <c r="I12">
        <v>6</v>
      </c>
      <c r="J12" t="s">
        <v>88</v>
      </c>
      <c r="L12" t="str">
        <f t="shared" si="0"/>
        <v>6human3</v>
      </c>
      <c r="M12" t="str">
        <f t="shared" si="1"/>
        <v>Llama2-70B m2</v>
      </c>
      <c r="N12">
        <f t="shared" si="2"/>
        <v>0</v>
      </c>
      <c r="O12">
        <f t="shared" si="3"/>
        <v>0</v>
      </c>
      <c r="P12" t="str">
        <f t="shared" si="4"/>
        <v>Llama2-70B m2</v>
      </c>
    </row>
    <row r="13" spans="1:16" x14ac:dyDescent="0.35">
      <c r="A13" t="s">
        <v>18</v>
      </c>
      <c r="B13" t="s">
        <v>29</v>
      </c>
      <c r="C13">
        <v>0.68340306799999995</v>
      </c>
      <c r="D13">
        <v>0.73092783500000003</v>
      </c>
      <c r="E13" s="1">
        <v>2.8099999999999999E-5</v>
      </c>
      <c r="F13" t="s">
        <v>20</v>
      </c>
      <c r="H13">
        <v>0.33580326300000002</v>
      </c>
      <c r="I13">
        <v>6</v>
      </c>
      <c r="J13" t="s">
        <v>89</v>
      </c>
      <c r="L13" t="str">
        <f t="shared" si="0"/>
        <v>6human4</v>
      </c>
      <c r="M13" t="str">
        <f t="shared" si="1"/>
        <v>Llama2-7B-chat m2</v>
      </c>
      <c r="N13">
        <f t="shared" si="2"/>
        <v>0</v>
      </c>
      <c r="O13">
        <f t="shared" si="3"/>
        <v>0</v>
      </c>
      <c r="P13" t="str">
        <f t="shared" si="4"/>
        <v>Llama2-7B-chat m2</v>
      </c>
    </row>
    <row r="14" spans="1:16" x14ac:dyDescent="0.35">
      <c r="A14" t="s">
        <v>18</v>
      </c>
      <c r="B14" t="s">
        <v>30</v>
      </c>
      <c r="C14">
        <v>0.70446304000000004</v>
      </c>
      <c r="D14">
        <v>0.73762886599999999</v>
      </c>
      <c r="E14">
        <v>2.1148109999999999E-3</v>
      </c>
      <c r="F14" t="s">
        <v>20</v>
      </c>
      <c r="H14">
        <v>2.34E-5</v>
      </c>
      <c r="I14" t="s">
        <v>59</v>
      </c>
      <c r="J14" t="s">
        <v>39</v>
      </c>
      <c r="L14" t="str">
        <f t="shared" si="0"/>
        <v>7qLlama2-70B mixedprompt</v>
      </c>
      <c r="M14" t="str">
        <f t="shared" si="1"/>
        <v>Llama2-13B-chat m2</v>
      </c>
      <c r="N14">
        <f t="shared" si="2"/>
        <v>0</v>
      </c>
      <c r="O14">
        <f t="shared" si="3"/>
        <v>0</v>
      </c>
      <c r="P14" t="str">
        <f t="shared" si="4"/>
        <v>Llama2-13B-chat m2</v>
      </c>
    </row>
    <row r="15" spans="1:16" x14ac:dyDescent="0.35">
      <c r="A15" t="s">
        <v>18</v>
      </c>
      <c r="B15" t="s">
        <v>32</v>
      </c>
      <c r="C15">
        <v>0.69274755899999996</v>
      </c>
      <c r="D15">
        <v>0.73556701000000002</v>
      </c>
      <c r="E15">
        <v>1.27238E-4</v>
      </c>
      <c r="F15" t="s">
        <v>20</v>
      </c>
      <c r="H15">
        <v>4.8319999999999999E-9</v>
      </c>
      <c r="I15" t="s">
        <v>59</v>
      </c>
      <c r="J15" t="s">
        <v>41</v>
      </c>
      <c r="L15" t="str">
        <f t="shared" si="0"/>
        <v>7qLlama2-13B-chat mixedprompt</v>
      </c>
      <c r="M15" t="str">
        <f t="shared" si="1"/>
        <v>Llama-3-70B-Instruct-Turbo m2</v>
      </c>
      <c r="N15">
        <f t="shared" si="2"/>
        <v>0</v>
      </c>
      <c r="O15">
        <f t="shared" si="3"/>
        <v>0</v>
      </c>
      <c r="P15" t="str">
        <f t="shared" si="4"/>
        <v>Llama-3-70B-Instruct-Turbo m2</v>
      </c>
    </row>
    <row r="16" spans="1:16" x14ac:dyDescent="0.35">
      <c r="A16" t="s">
        <v>18</v>
      </c>
      <c r="B16" t="s">
        <v>33</v>
      </c>
      <c r="C16">
        <v>0.70599721100000001</v>
      </c>
      <c r="D16">
        <v>0.75</v>
      </c>
      <c r="E16">
        <v>6.9400000000000006E-5</v>
      </c>
      <c r="F16" t="s">
        <v>20</v>
      </c>
      <c r="H16">
        <v>2.637454E-3</v>
      </c>
      <c r="I16" t="s">
        <v>59</v>
      </c>
      <c r="J16" t="s">
        <v>43</v>
      </c>
      <c r="L16" t="str">
        <f t="shared" si="0"/>
        <v>7qLlama-3.1-70B-Instruct-Turbo mixedprompt</v>
      </c>
      <c r="M16" t="str">
        <f t="shared" si="1"/>
        <v>Llama-3.1-70B-Instruct-Turbo m2</v>
      </c>
      <c r="N16">
        <f t="shared" si="2"/>
        <v>0</v>
      </c>
      <c r="O16">
        <f t="shared" si="3"/>
        <v>0</v>
      </c>
      <c r="P16" t="str">
        <f t="shared" si="4"/>
        <v>Llama-3.1-70B-Instruct-Turbo m2</v>
      </c>
    </row>
    <row r="17" spans="1:16" x14ac:dyDescent="0.35">
      <c r="A17" t="s">
        <v>18</v>
      </c>
      <c r="B17" t="s">
        <v>35</v>
      </c>
      <c r="C17">
        <v>0.73751743400000003</v>
      </c>
      <c r="D17">
        <v>0.76237113400000001</v>
      </c>
      <c r="E17">
        <v>1.3144696000000001E-2</v>
      </c>
      <c r="F17" t="s">
        <v>20</v>
      </c>
      <c r="H17">
        <v>1.1200587200000001E-2</v>
      </c>
      <c r="I17" t="s">
        <v>59</v>
      </c>
      <c r="J17" t="s">
        <v>44</v>
      </c>
      <c r="L17" t="str">
        <f t="shared" si="0"/>
        <v>7qLlama-3.1-405B-Instruct-Turbo mixedprompt</v>
      </c>
      <c r="M17" t="str">
        <f t="shared" si="1"/>
        <v>Llama-3.1-405B-Instruct-Turbo m2</v>
      </c>
      <c r="N17">
        <f t="shared" si="2"/>
        <v>0</v>
      </c>
      <c r="O17">
        <f t="shared" si="3"/>
        <v>0</v>
      </c>
      <c r="P17" t="str">
        <f t="shared" si="4"/>
        <v>Llama-3.1-405B-Instruct-Turbo m2</v>
      </c>
    </row>
    <row r="18" spans="1:16" x14ac:dyDescent="0.35">
      <c r="A18" t="s">
        <v>18</v>
      </c>
      <c r="B18" t="s">
        <v>37</v>
      </c>
      <c r="C18">
        <v>0.69986053000000004</v>
      </c>
      <c r="D18">
        <v>0.75051546400000002</v>
      </c>
      <c r="E18" s="1">
        <v>6.3600000000000001E-6</v>
      </c>
      <c r="F18" t="s">
        <v>20</v>
      </c>
      <c r="H18">
        <v>0.14691222000000001</v>
      </c>
      <c r="I18" t="s">
        <v>59</v>
      </c>
      <c r="J18" t="s">
        <v>45</v>
      </c>
      <c r="L18" t="str">
        <f t="shared" si="0"/>
        <v>7qLlama-3.3-70B-Instruct-Turbo mixedprompt</v>
      </c>
      <c r="M18" t="str">
        <f t="shared" si="1"/>
        <v>Llama-3.3-70B-Instruct-Turbo m2</v>
      </c>
      <c r="N18">
        <f t="shared" si="2"/>
        <v>0</v>
      </c>
      <c r="O18">
        <f t="shared" si="3"/>
        <v>0</v>
      </c>
      <c r="P18" t="str">
        <f t="shared" si="4"/>
        <v>Llama-3.3-70B-Instruct-Turbo m2</v>
      </c>
    </row>
    <row r="19" spans="1:16" x14ac:dyDescent="0.35">
      <c r="A19" t="s">
        <v>18</v>
      </c>
      <c r="B19" t="s">
        <v>39</v>
      </c>
      <c r="C19">
        <v>0.78437935800000003</v>
      </c>
      <c r="D19">
        <v>0.84226804099999997</v>
      </c>
      <c r="E19" s="1">
        <v>9.5100000000000005E-9</v>
      </c>
      <c r="F19" t="s">
        <v>20</v>
      </c>
      <c r="G19" t="s">
        <v>84</v>
      </c>
      <c r="H19">
        <v>6.7733333333333304E-5</v>
      </c>
      <c r="I19" t="s">
        <v>59</v>
      </c>
      <c r="J19" t="s">
        <v>46</v>
      </c>
      <c r="L19" t="str">
        <f t="shared" si="0"/>
        <v>7qGPT-4o-mini mixedprompt</v>
      </c>
      <c r="M19" t="str">
        <f t="shared" si="1"/>
        <v>2qLlama2-70B mixedprompt</v>
      </c>
      <c r="N19">
        <f t="shared" si="2"/>
        <v>7.0000000000000005E-8</v>
      </c>
      <c r="O19" t="str">
        <f t="shared" si="3"/>
        <v>2q</v>
      </c>
      <c r="P19" t="str">
        <f t="shared" si="4"/>
        <v>Llama2-70B mixedprompt</v>
      </c>
    </row>
    <row r="20" spans="1:16" x14ac:dyDescent="0.35">
      <c r="A20" t="s">
        <v>18</v>
      </c>
      <c r="B20" t="s">
        <v>41</v>
      </c>
      <c r="C20">
        <v>0.667224547</v>
      </c>
      <c r="D20">
        <v>0.732989691</v>
      </c>
      <c r="E20" s="1">
        <v>1.7500000000000001E-8</v>
      </c>
      <c r="F20" t="s">
        <v>20</v>
      </c>
      <c r="G20" t="s">
        <v>84</v>
      </c>
      <c r="H20" s="1">
        <v>0.24004527542857099</v>
      </c>
      <c r="I20" t="s">
        <v>59</v>
      </c>
      <c r="J20" t="s">
        <v>47</v>
      </c>
      <c r="L20" t="str">
        <f t="shared" si="0"/>
        <v>7qGPT-4o mixedprompt</v>
      </c>
      <c r="M20" t="str">
        <f t="shared" si="1"/>
        <v>2qLlama2-13B-chat mixedprompt</v>
      </c>
      <c r="N20">
        <f t="shared" si="2"/>
        <v>7.0000000000000005E-8</v>
      </c>
      <c r="O20" t="str">
        <f t="shared" si="3"/>
        <v>2q</v>
      </c>
      <c r="P20" t="str">
        <f t="shared" si="4"/>
        <v>Llama2-13B-chat mixedprompt</v>
      </c>
    </row>
    <row r="21" spans="1:16" x14ac:dyDescent="0.35">
      <c r="A21" t="s">
        <v>18</v>
      </c>
      <c r="B21" t="s">
        <v>43</v>
      </c>
      <c r="C21">
        <v>0.89205020899999998</v>
      </c>
      <c r="D21">
        <v>0.90670103099999999</v>
      </c>
      <c r="E21">
        <v>3.0823789000000001E-2</v>
      </c>
      <c r="F21" t="s">
        <v>20</v>
      </c>
      <c r="G21" t="s">
        <v>84</v>
      </c>
      <c r="H21" s="1">
        <v>0.58466471200000003</v>
      </c>
      <c r="I21" t="s">
        <v>59</v>
      </c>
      <c r="J21" t="s">
        <v>48</v>
      </c>
      <c r="L21" t="str">
        <f t="shared" si="0"/>
        <v>7qo1-mini mixedprompt</v>
      </c>
      <c r="M21" t="str">
        <f t="shared" si="1"/>
        <v>2qLlama-3.1-70B-Instruct-Turbo mixedprompt</v>
      </c>
      <c r="N21">
        <f t="shared" si="2"/>
        <v>4.9318062400000001E-2</v>
      </c>
      <c r="O21" t="str">
        <f t="shared" si="3"/>
        <v>2q</v>
      </c>
      <c r="P21" t="str">
        <f t="shared" si="4"/>
        <v>Llama-3.1-70B-Instruct-Turbo mixedprompt</v>
      </c>
    </row>
    <row r="22" spans="1:16" x14ac:dyDescent="0.35">
      <c r="A22" t="s">
        <v>18</v>
      </c>
      <c r="B22" t="s">
        <v>44</v>
      </c>
      <c r="C22">
        <v>0.914783821</v>
      </c>
      <c r="D22">
        <v>0.92113402099999997</v>
      </c>
      <c r="E22">
        <v>0.18533952300000001</v>
      </c>
      <c r="F22" t="s">
        <v>20</v>
      </c>
      <c r="G22" t="s">
        <v>84</v>
      </c>
      <c r="H22" s="1">
        <v>0.112733532</v>
      </c>
      <c r="I22" t="s">
        <v>57</v>
      </c>
      <c r="J22" t="s">
        <v>11</v>
      </c>
      <c r="L22" t="str">
        <f t="shared" si="0"/>
        <v>5tLlama3.1-70B-Instruct Q</v>
      </c>
      <c r="M22" t="str">
        <f t="shared" si="1"/>
        <v>2qLlama-3.1-405B-Instruct-Turbo mixedprompt</v>
      </c>
      <c r="N22">
        <f t="shared" si="2"/>
        <v>0.24711936400000001</v>
      </c>
      <c r="O22" t="str">
        <f t="shared" si="3"/>
        <v>2q</v>
      </c>
      <c r="P22" t="str">
        <f t="shared" si="4"/>
        <v>Llama-3.1-405B-Instruct-Turbo mixedprompt</v>
      </c>
    </row>
    <row r="23" spans="1:16" x14ac:dyDescent="0.35">
      <c r="A23" t="s">
        <v>18</v>
      </c>
      <c r="B23" t="s">
        <v>45</v>
      </c>
      <c r="C23">
        <v>0.89804742000000004</v>
      </c>
      <c r="D23">
        <v>0.90360824699999998</v>
      </c>
      <c r="E23">
        <v>0.235195503</v>
      </c>
      <c r="F23" t="s">
        <v>20</v>
      </c>
      <c r="G23" t="s">
        <v>84</v>
      </c>
      <c r="H23">
        <v>0.112733532</v>
      </c>
      <c r="I23" t="s">
        <v>57</v>
      </c>
      <c r="J23" t="s">
        <v>14</v>
      </c>
      <c r="L23" t="str">
        <f t="shared" si="0"/>
        <v>5tLlama3.1-405B-Instruct Q</v>
      </c>
      <c r="M23" t="str">
        <f t="shared" si="1"/>
        <v>2qLlama-3.3-70B-Instruct-Turbo mixedprompt</v>
      </c>
      <c r="N23">
        <f t="shared" si="2"/>
        <v>0.26879486057142798</v>
      </c>
      <c r="O23" t="str">
        <f t="shared" si="3"/>
        <v>2q</v>
      </c>
      <c r="P23" t="str">
        <f t="shared" si="4"/>
        <v>Llama-3.3-70B-Instruct-Turbo mixedprompt</v>
      </c>
    </row>
    <row r="24" spans="1:16" x14ac:dyDescent="0.35">
      <c r="A24" t="s">
        <v>18</v>
      </c>
      <c r="B24" t="s">
        <v>46</v>
      </c>
      <c r="C24">
        <v>0.86262203599999998</v>
      </c>
      <c r="D24">
        <v>0.90463917500000002</v>
      </c>
      <c r="E24" s="1">
        <v>4.6199999999999998E-7</v>
      </c>
      <c r="F24" t="s">
        <v>20</v>
      </c>
      <c r="G24" t="s">
        <v>84</v>
      </c>
      <c r="H24" s="1">
        <v>0.17661544200000001</v>
      </c>
      <c r="I24" t="s">
        <v>57</v>
      </c>
      <c r="J24" t="s">
        <v>15</v>
      </c>
      <c r="L24" t="str">
        <f t="shared" si="0"/>
        <v>5tLlama3.3-70B-Instruct Q</v>
      </c>
      <c r="M24" t="str">
        <f t="shared" si="1"/>
        <v>2qGPT-4o-mini mixedprompt</v>
      </c>
      <c r="N24">
        <f t="shared" si="2"/>
        <v>1.232E-6</v>
      </c>
      <c r="O24" t="str">
        <f t="shared" si="3"/>
        <v>2q</v>
      </c>
      <c r="P24" t="str">
        <f t="shared" si="4"/>
        <v>GPT-4o-mini mixedprompt</v>
      </c>
    </row>
    <row r="25" spans="1:16" x14ac:dyDescent="0.35">
      <c r="A25" t="s">
        <v>18</v>
      </c>
      <c r="B25" t="s">
        <v>47</v>
      </c>
      <c r="C25">
        <v>0.93793584399999996</v>
      </c>
      <c r="D25">
        <v>0.936082474</v>
      </c>
      <c r="E25">
        <v>0.38236492300000002</v>
      </c>
      <c r="F25" t="s">
        <v>20</v>
      </c>
      <c r="G25" t="s">
        <v>84</v>
      </c>
      <c r="H25" s="1">
        <v>0.12372991</v>
      </c>
      <c r="I25" t="s">
        <v>57</v>
      </c>
      <c r="J25" t="s">
        <v>16</v>
      </c>
      <c r="L25" t="str">
        <f t="shared" si="0"/>
        <v>5tgpt-4o-mini Q</v>
      </c>
      <c r="M25" t="str">
        <f t="shared" si="1"/>
        <v>2qGPT-4o mixedprompt</v>
      </c>
      <c r="N25">
        <f t="shared" si="2"/>
        <v>0.38236492300000002</v>
      </c>
      <c r="O25" t="str">
        <f t="shared" si="3"/>
        <v>2q</v>
      </c>
      <c r="P25" t="str">
        <f t="shared" si="4"/>
        <v>GPT-4o mixedprompt</v>
      </c>
    </row>
    <row r="26" spans="1:16" x14ac:dyDescent="0.35">
      <c r="A26" t="s">
        <v>18</v>
      </c>
      <c r="B26" t="s">
        <v>48</v>
      </c>
      <c r="C26">
        <v>0.91980474199999995</v>
      </c>
      <c r="D26">
        <v>0.936082474</v>
      </c>
      <c r="E26">
        <v>8.4300920000000001E-3</v>
      </c>
      <c r="F26" t="s">
        <v>20</v>
      </c>
      <c r="G26" t="s">
        <v>84</v>
      </c>
      <c r="H26" s="1">
        <v>0.18454004039999999</v>
      </c>
      <c r="I26" t="s">
        <v>57</v>
      </c>
      <c r="J26" t="s">
        <v>17</v>
      </c>
      <c r="L26" t="str">
        <f t="shared" si="0"/>
        <v>5tgpt-4o Q</v>
      </c>
      <c r="M26" t="str">
        <f t="shared" si="1"/>
        <v>2qo1-mini mixedprompt</v>
      </c>
      <c r="N26">
        <f t="shared" si="2"/>
        <v>1.6860184E-2</v>
      </c>
      <c r="O26" t="str">
        <f t="shared" si="3"/>
        <v>2q</v>
      </c>
      <c r="P26" t="str">
        <f t="shared" si="4"/>
        <v>o1-mini mixedprompt</v>
      </c>
    </row>
    <row r="27" spans="1:16" x14ac:dyDescent="0.35">
      <c r="A27" t="s">
        <v>18</v>
      </c>
      <c r="B27" t="s">
        <v>34</v>
      </c>
      <c r="C27">
        <v>0.69479311899999996</v>
      </c>
      <c r="D27">
        <v>0.73951889999999998</v>
      </c>
      <c r="E27" s="1">
        <v>1.64E-11</v>
      </c>
      <c r="F27" t="s">
        <v>20</v>
      </c>
      <c r="G27" t="s">
        <v>21</v>
      </c>
      <c r="H27" s="1">
        <v>0.378638372</v>
      </c>
      <c r="I27" t="s">
        <v>57</v>
      </c>
      <c r="J27" t="s">
        <v>22</v>
      </c>
      <c r="L27" t="str">
        <f t="shared" si="0"/>
        <v>5thuman</v>
      </c>
      <c r="M27" t="str">
        <f t="shared" si="1"/>
        <v>2mLlama-3-70B-Instruct c</v>
      </c>
      <c r="N27">
        <f t="shared" si="2"/>
        <v>4.3199999999999997E-11</v>
      </c>
      <c r="O27" t="str">
        <f t="shared" si="3"/>
        <v>2m</v>
      </c>
      <c r="P27" t="str">
        <f t="shared" si="4"/>
        <v>Llama-3-70B-Instruct c</v>
      </c>
    </row>
    <row r="28" spans="1:16" x14ac:dyDescent="0.35">
      <c r="A28" t="s">
        <v>18</v>
      </c>
      <c r="B28" t="s">
        <v>49</v>
      </c>
      <c r="C28">
        <v>0.64895397499999996</v>
      </c>
      <c r="D28">
        <v>0.66726804100000003</v>
      </c>
      <c r="E28">
        <v>1.6756999000000002E-2</v>
      </c>
      <c r="F28" t="s">
        <v>20</v>
      </c>
      <c r="H28">
        <v>7.0000000000000005E-8</v>
      </c>
      <c r="I28" t="s">
        <v>84</v>
      </c>
      <c r="J28" t="s">
        <v>39</v>
      </c>
      <c r="L28" t="str">
        <f t="shared" si="0"/>
        <v>2qLlama2-70B mixedprompt</v>
      </c>
      <c r="M28" t="str">
        <f t="shared" si="1"/>
        <v>Llama-3-70B-Instruct cf</v>
      </c>
      <c r="N28">
        <f t="shared" si="2"/>
        <v>0</v>
      </c>
      <c r="O28">
        <f t="shared" si="3"/>
        <v>0</v>
      </c>
      <c r="P28" t="str">
        <f t="shared" si="4"/>
        <v>Llama-3-70B-Instruct cf</v>
      </c>
    </row>
    <row r="29" spans="1:16" x14ac:dyDescent="0.35">
      <c r="A29" t="s">
        <v>18</v>
      </c>
      <c r="B29" t="s">
        <v>36</v>
      </c>
      <c r="C29">
        <v>0.69651324999999997</v>
      </c>
      <c r="D29">
        <v>0.74089347100000003</v>
      </c>
      <c r="E29" s="1">
        <v>2.1599999999999998E-11</v>
      </c>
      <c r="F29" t="s">
        <v>20</v>
      </c>
      <c r="G29" t="s">
        <v>21</v>
      </c>
      <c r="H29" s="1">
        <v>7.0000000000000005E-8</v>
      </c>
      <c r="I29" t="s">
        <v>84</v>
      </c>
      <c r="J29" t="s">
        <v>41</v>
      </c>
      <c r="L29" t="str">
        <f t="shared" si="0"/>
        <v>2qLlama2-13B-chat mixedprompt</v>
      </c>
      <c r="M29" t="str">
        <f t="shared" si="1"/>
        <v>2mLlama-3.1-70B-Instruct c</v>
      </c>
      <c r="N29">
        <f t="shared" si="2"/>
        <v>4.3199999999999997E-11</v>
      </c>
      <c r="O29" t="str">
        <f t="shared" si="3"/>
        <v>2m</v>
      </c>
      <c r="P29" t="str">
        <f t="shared" si="4"/>
        <v>Llama-3.1-70B-Instruct c</v>
      </c>
    </row>
    <row r="30" spans="1:16" x14ac:dyDescent="0.35">
      <c r="A30" t="s">
        <v>18</v>
      </c>
      <c r="B30" t="s">
        <v>51</v>
      </c>
      <c r="C30">
        <v>0.64546722499999998</v>
      </c>
      <c r="D30">
        <v>0.67293814399999996</v>
      </c>
      <c r="E30">
        <v>7.2251499999999996E-4</v>
      </c>
      <c r="F30" t="s">
        <v>20</v>
      </c>
      <c r="H30" s="1">
        <v>4.9318062400000001E-2</v>
      </c>
      <c r="I30" t="s">
        <v>84</v>
      </c>
      <c r="J30" t="s">
        <v>43</v>
      </c>
      <c r="L30" t="str">
        <f t="shared" si="0"/>
        <v>2qLlama-3.1-70B-Instruct-Turbo mixedprompt</v>
      </c>
      <c r="M30" t="str">
        <f t="shared" si="1"/>
        <v>Llama-3.1-70B-Instruct cf</v>
      </c>
      <c r="N30">
        <f t="shared" si="2"/>
        <v>0</v>
      </c>
      <c r="O30">
        <f t="shared" si="3"/>
        <v>0</v>
      </c>
      <c r="P30" t="str">
        <f t="shared" si="4"/>
        <v>Llama-3.1-70B-Instruct cf</v>
      </c>
    </row>
    <row r="31" spans="1:16" x14ac:dyDescent="0.35">
      <c r="A31" t="s">
        <v>18</v>
      </c>
      <c r="B31" t="s">
        <v>38</v>
      </c>
      <c r="C31">
        <v>0.73654114400000004</v>
      </c>
      <c r="D31">
        <v>0.75619834699999999</v>
      </c>
      <c r="E31">
        <v>1.20936E-3</v>
      </c>
      <c r="F31" t="s">
        <v>20</v>
      </c>
      <c r="G31" t="s">
        <v>21</v>
      </c>
      <c r="H31" s="1">
        <v>0.24711936400000001</v>
      </c>
      <c r="I31" t="s">
        <v>84</v>
      </c>
      <c r="J31" t="s">
        <v>44</v>
      </c>
      <c r="L31" t="str">
        <f t="shared" si="0"/>
        <v>2qLlama-3.1-405B-Instruct-Turbo mixedprompt</v>
      </c>
      <c r="M31" t="str">
        <f t="shared" si="1"/>
        <v>2mLlama-3.1-405B-Instruct c</v>
      </c>
      <c r="N31">
        <f t="shared" si="2"/>
        <v>1.20936E-3</v>
      </c>
      <c r="O31" t="str">
        <f t="shared" si="3"/>
        <v>2m</v>
      </c>
      <c r="P31" t="str">
        <f t="shared" si="4"/>
        <v>Llama-3.1-405B-Instruct c</v>
      </c>
    </row>
    <row r="32" spans="1:16" x14ac:dyDescent="0.35">
      <c r="A32" t="s">
        <v>18</v>
      </c>
      <c r="B32" t="s">
        <v>52</v>
      </c>
      <c r="C32">
        <v>0.66534170199999998</v>
      </c>
      <c r="D32">
        <v>0.68</v>
      </c>
      <c r="E32">
        <v>4.2735914E-2</v>
      </c>
      <c r="F32" t="s">
        <v>20</v>
      </c>
      <c r="H32" s="1">
        <v>0.26879486057142798</v>
      </c>
      <c r="I32" t="s">
        <v>84</v>
      </c>
      <c r="J32" t="s">
        <v>45</v>
      </c>
      <c r="L32" t="str">
        <f t="shared" si="0"/>
        <v>2qLlama-3.3-70B-Instruct-Turbo mixedprompt</v>
      </c>
      <c r="M32" t="str">
        <f t="shared" si="1"/>
        <v>Llama-3.1-405B-Instruct cf</v>
      </c>
      <c r="N32">
        <f t="shared" si="2"/>
        <v>0</v>
      </c>
      <c r="O32">
        <f t="shared" si="3"/>
        <v>0</v>
      </c>
      <c r="P32" t="str">
        <f t="shared" si="4"/>
        <v>Llama-3.1-405B-Instruct cf</v>
      </c>
    </row>
    <row r="33" spans="1:16" x14ac:dyDescent="0.35">
      <c r="A33" t="s">
        <v>18</v>
      </c>
      <c r="B33" t="s">
        <v>40</v>
      </c>
      <c r="C33">
        <v>0.69683868000000004</v>
      </c>
      <c r="D33">
        <v>0.73883161500000005</v>
      </c>
      <c r="E33" s="1">
        <v>2.2300000000000001E-10</v>
      </c>
      <c r="F33" t="s">
        <v>20</v>
      </c>
      <c r="G33" t="s">
        <v>21</v>
      </c>
      <c r="H33" s="1">
        <v>1.232E-6</v>
      </c>
      <c r="I33" t="s">
        <v>84</v>
      </c>
      <c r="J33" t="s">
        <v>46</v>
      </c>
      <c r="L33" t="str">
        <f t="shared" si="0"/>
        <v>2qGPT-4o-mini mixedprompt</v>
      </c>
      <c r="M33" t="str">
        <f t="shared" si="1"/>
        <v>2mLlama-3.3-70B-Instruct c</v>
      </c>
      <c r="N33">
        <f t="shared" si="2"/>
        <v>3.3449999999999998E-10</v>
      </c>
      <c r="O33" t="str">
        <f t="shared" si="3"/>
        <v>2m</v>
      </c>
      <c r="P33" t="str">
        <f t="shared" si="4"/>
        <v>Llama-3.3-70B-Instruct c</v>
      </c>
    </row>
    <row r="34" spans="1:16" x14ac:dyDescent="0.35">
      <c r="A34" t="s">
        <v>18</v>
      </c>
      <c r="B34" t="s">
        <v>53</v>
      </c>
      <c r="C34">
        <v>0.64191073899999995</v>
      </c>
      <c r="D34">
        <v>0.661597938</v>
      </c>
      <c r="E34">
        <v>1.1448328000000001E-2</v>
      </c>
      <c r="F34" t="s">
        <v>20</v>
      </c>
      <c r="H34" s="1">
        <v>0.38236492300000002</v>
      </c>
      <c r="I34" t="s">
        <v>84</v>
      </c>
      <c r="J34" t="s">
        <v>47</v>
      </c>
      <c r="L34" t="str">
        <f t="shared" si="0"/>
        <v>2qGPT-4o mixedprompt</v>
      </c>
      <c r="M34" t="str">
        <f t="shared" si="1"/>
        <v>Llama-3.3-70B-Instruct cf</v>
      </c>
      <c r="N34">
        <f t="shared" si="2"/>
        <v>0</v>
      </c>
      <c r="O34">
        <f t="shared" si="3"/>
        <v>0</v>
      </c>
      <c r="P34" t="str">
        <f t="shared" si="4"/>
        <v>Llama-3.3-70B-Instruct cf</v>
      </c>
    </row>
    <row r="35" spans="1:16" x14ac:dyDescent="0.35">
      <c r="A35" t="s">
        <v>18</v>
      </c>
      <c r="B35" t="s">
        <v>11</v>
      </c>
      <c r="C35">
        <v>0.91</v>
      </c>
      <c r="D35">
        <v>0.92682926799999998</v>
      </c>
      <c r="E35">
        <v>0.20252490100000001</v>
      </c>
      <c r="F35" t="s">
        <v>20</v>
      </c>
      <c r="G35" t="s">
        <v>55</v>
      </c>
      <c r="H35">
        <v>1.6860184E-2</v>
      </c>
      <c r="I35" t="s">
        <v>84</v>
      </c>
      <c r="J35" t="s">
        <v>48</v>
      </c>
      <c r="L35" t="str">
        <f t="shared" si="0"/>
        <v>2qo1-mini mixedprompt</v>
      </c>
      <c r="M35" t="str">
        <f t="shared" si="1"/>
        <v>2tLlama3.1-70B-Instruct Q</v>
      </c>
      <c r="N35">
        <f t="shared" si="2"/>
        <v>0.30378735150000002</v>
      </c>
      <c r="O35" t="str">
        <f t="shared" si="3"/>
        <v>2t</v>
      </c>
      <c r="P35" t="str">
        <f t="shared" si="4"/>
        <v>Llama3.1-70B-Instruct Q</v>
      </c>
    </row>
    <row r="36" spans="1:16" x14ac:dyDescent="0.35">
      <c r="A36" t="s">
        <v>18</v>
      </c>
      <c r="B36" t="s">
        <v>14</v>
      </c>
      <c r="C36">
        <v>0.92777777800000005</v>
      </c>
      <c r="D36">
        <v>0.94715447200000003</v>
      </c>
      <c r="E36">
        <v>0.142451563</v>
      </c>
      <c r="F36" t="s">
        <v>20</v>
      </c>
      <c r="G36" t="s">
        <v>55</v>
      </c>
      <c r="H36" s="1">
        <v>0.24829105400000001</v>
      </c>
      <c r="I36" t="s">
        <v>58</v>
      </c>
      <c r="J36" t="s">
        <v>19</v>
      </c>
      <c r="L36" t="str">
        <f t="shared" si="0"/>
        <v>4mglove add_lem</v>
      </c>
      <c r="M36" t="str">
        <f t="shared" si="1"/>
        <v>2tLlama3.1-405B-Instruct Q</v>
      </c>
      <c r="N36">
        <f t="shared" si="2"/>
        <v>0.28490312600000001</v>
      </c>
      <c r="O36" t="str">
        <f t="shared" si="3"/>
        <v>2t</v>
      </c>
      <c r="P36" t="str">
        <f t="shared" si="4"/>
        <v>Llama3.1-405B-Instruct Q</v>
      </c>
    </row>
    <row r="37" spans="1:16" x14ac:dyDescent="0.35">
      <c r="A37" t="s">
        <v>18</v>
      </c>
      <c r="B37" t="s">
        <v>15</v>
      </c>
      <c r="C37">
        <v>0.91444444400000002</v>
      </c>
      <c r="D37">
        <v>0.94308943099999998</v>
      </c>
      <c r="E37">
        <v>7.0430370000000006E-2</v>
      </c>
      <c r="F37" t="s">
        <v>20</v>
      </c>
      <c r="G37" t="s">
        <v>55</v>
      </c>
      <c r="H37" s="1">
        <v>6.3765587999999899E-3</v>
      </c>
      <c r="I37" t="s">
        <v>58</v>
      </c>
      <c r="J37" t="s">
        <v>23</v>
      </c>
      <c r="L37" t="str">
        <f t="shared" si="0"/>
        <v>4msbert2_long</v>
      </c>
      <c r="M37" t="str">
        <f t="shared" si="1"/>
        <v>2tLlama3.3-70B-Instruct Q</v>
      </c>
      <c r="N37">
        <f t="shared" si="2"/>
        <v>0.21129111</v>
      </c>
      <c r="O37" t="str">
        <f t="shared" si="3"/>
        <v>2t</v>
      </c>
      <c r="P37" t="str">
        <f t="shared" si="4"/>
        <v>Llama3.3-70B-Instruct Q</v>
      </c>
    </row>
    <row r="38" spans="1:16" x14ac:dyDescent="0.35">
      <c r="A38" t="s">
        <v>18</v>
      </c>
      <c r="B38" t="s">
        <v>16</v>
      </c>
      <c r="C38">
        <v>0.87222222199999999</v>
      </c>
      <c r="D38">
        <v>0.91056910599999996</v>
      </c>
      <c r="E38">
        <v>5.0204085000000002E-2</v>
      </c>
      <c r="F38" t="s">
        <v>20</v>
      </c>
      <c r="G38" t="s">
        <v>55</v>
      </c>
      <c r="H38" s="1">
        <v>5.7660000000000004E-14</v>
      </c>
      <c r="I38" t="s">
        <v>58</v>
      </c>
      <c r="J38" t="s">
        <v>34</v>
      </c>
      <c r="L38" t="str">
        <f t="shared" si="0"/>
        <v>4mLlama-3-70B-Instruct c</v>
      </c>
      <c r="M38" t="str">
        <f t="shared" si="1"/>
        <v>2tgpt-4o-mini Q</v>
      </c>
      <c r="N38">
        <f t="shared" si="2"/>
        <v>0.21129111</v>
      </c>
      <c r="O38" t="str">
        <f t="shared" si="3"/>
        <v>2t</v>
      </c>
      <c r="P38" t="str">
        <f t="shared" si="4"/>
        <v>gpt-4o-mini Q</v>
      </c>
    </row>
    <row r="39" spans="1:16" x14ac:dyDescent="0.35">
      <c r="A39" t="s">
        <v>18</v>
      </c>
      <c r="B39" t="s">
        <v>17</v>
      </c>
      <c r="C39">
        <v>0.94888888900000001</v>
      </c>
      <c r="D39">
        <v>0.95121951199999999</v>
      </c>
      <c r="E39">
        <v>0.44125697600000002</v>
      </c>
      <c r="F39" t="s">
        <v>20</v>
      </c>
      <c r="G39" t="s">
        <v>55</v>
      </c>
      <c r="H39" s="1">
        <v>1.31999999999999E-8</v>
      </c>
      <c r="I39" t="s">
        <v>58</v>
      </c>
      <c r="J39" t="s">
        <v>36</v>
      </c>
      <c r="L39" t="str">
        <f t="shared" si="0"/>
        <v>4mLlama-3.1-70B-Instruct c</v>
      </c>
      <c r="M39" t="str">
        <f t="shared" si="1"/>
        <v>2tgpt-4o Q</v>
      </c>
      <c r="N39">
        <f t="shared" si="2"/>
        <v>0.44125697600000002</v>
      </c>
      <c r="O39" t="str">
        <f t="shared" si="3"/>
        <v>2t</v>
      </c>
      <c r="P39" t="str">
        <f t="shared" si="4"/>
        <v>gpt-4o Q</v>
      </c>
    </row>
    <row r="40" spans="1:16" x14ac:dyDescent="0.35">
      <c r="A40" t="s">
        <v>18</v>
      </c>
      <c r="B40" t="s">
        <v>85</v>
      </c>
      <c r="C40">
        <v>0.91466666699999999</v>
      </c>
      <c r="D40">
        <v>0.93577235800000003</v>
      </c>
      <c r="E40">
        <v>8.043616E-3</v>
      </c>
      <c r="F40" t="s">
        <v>20</v>
      </c>
      <c r="H40" s="1">
        <v>7.5199999999999999E-10</v>
      </c>
      <c r="I40" t="s">
        <v>58</v>
      </c>
      <c r="J40" t="s">
        <v>38</v>
      </c>
      <c r="L40" t="str">
        <f t="shared" si="0"/>
        <v>4mLlama-3.1-405B-Instruct c</v>
      </c>
      <c r="M40" t="str">
        <f t="shared" si="1"/>
        <v>q_test_total</v>
      </c>
      <c r="N40">
        <f t="shared" si="2"/>
        <v>0</v>
      </c>
      <c r="O40">
        <f t="shared" si="3"/>
        <v>0</v>
      </c>
      <c r="P40" t="str">
        <f t="shared" si="4"/>
        <v>q_test_total</v>
      </c>
    </row>
    <row r="41" spans="1:16" x14ac:dyDescent="0.35">
      <c r="A41" t="s">
        <v>18</v>
      </c>
      <c r="B41" t="s">
        <v>22</v>
      </c>
      <c r="C41">
        <v>0.94666666700000002</v>
      </c>
      <c r="D41">
        <v>0.94285714300000001</v>
      </c>
      <c r="E41" s="1">
        <v>0.40764884499999998</v>
      </c>
      <c r="F41" t="s">
        <v>20</v>
      </c>
      <c r="G41" t="s">
        <v>55</v>
      </c>
      <c r="H41" s="1">
        <v>7.5E-11</v>
      </c>
      <c r="I41" t="s">
        <v>58</v>
      </c>
      <c r="J41" t="s">
        <v>40</v>
      </c>
      <c r="L41" t="str">
        <f t="shared" si="0"/>
        <v>4mLlama-3.3-70B-Instruct c</v>
      </c>
      <c r="M41" t="str">
        <f t="shared" si="1"/>
        <v>2thuman</v>
      </c>
      <c r="N41">
        <f t="shared" si="2"/>
        <v>0.44125697600000002</v>
      </c>
      <c r="O41" t="str">
        <f t="shared" si="3"/>
        <v>2t</v>
      </c>
      <c r="P41" t="str">
        <f t="shared" si="4"/>
        <v>human</v>
      </c>
    </row>
    <row r="42" spans="1:16" x14ac:dyDescent="0.35">
      <c r="A42" t="s">
        <v>56</v>
      </c>
      <c r="B42" t="s">
        <v>19</v>
      </c>
      <c r="C42">
        <v>0.44930875599999998</v>
      </c>
      <c r="D42">
        <v>0.58049167300000004</v>
      </c>
      <c r="E42">
        <v>1.54E-11</v>
      </c>
      <c r="F42" t="s">
        <v>20</v>
      </c>
      <c r="G42" t="s">
        <v>54</v>
      </c>
      <c r="H42" s="1">
        <v>0.30378735150000002</v>
      </c>
      <c r="I42" t="s">
        <v>55</v>
      </c>
      <c r="J42" t="s">
        <v>11</v>
      </c>
      <c r="L42" t="str">
        <f t="shared" si="0"/>
        <v>2tLlama3.1-70B-Instruct Q</v>
      </c>
      <c r="M42" t="str">
        <f t="shared" si="1"/>
        <v>3mglove add_lem</v>
      </c>
      <c r="N42">
        <f t="shared" si="2"/>
        <v>1.54E-11</v>
      </c>
      <c r="O42" t="str">
        <f t="shared" si="3"/>
        <v>3m</v>
      </c>
      <c r="P42" t="str">
        <f t="shared" si="4"/>
        <v>glove add_lem</v>
      </c>
    </row>
    <row r="43" spans="1:16" x14ac:dyDescent="0.35">
      <c r="A43" t="s">
        <v>56</v>
      </c>
      <c r="B43" t="s">
        <v>23</v>
      </c>
      <c r="C43">
        <v>0.14614918099999999</v>
      </c>
      <c r="D43">
        <v>0.92982456099999999</v>
      </c>
      <c r="E43" s="1">
        <v>0</v>
      </c>
      <c r="F43" t="s">
        <v>20</v>
      </c>
      <c r="G43" t="s">
        <v>54</v>
      </c>
      <c r="H43" s="1">
        <v>0.28490312600000001</v>
      </c>
      <c r="I43" t="s">
        <v>55</v>
      </c>
      <c r="J43" t="s">
        <v>14</v>
      </c>
      <c r="L43" t="str">
        <f t="shared" si="0"/>
        <v>2tLlama3.1-405B-Instruct Q</v>
      </c>
      <c r="M43" t="str">
        <f t="shared" si="1"/>
        <v>3msbert2_long</v>
      </c>
      <c r="N43">
        <f>INDEX(H:H,MATCH(M43,L:L,0))</f>
        <v>0</v>
      </c>
      <c r="O43" t="str">
        <f t="shared" si="3"/>
        <v>3m</v>
      </c>
      <c r="P43" t="str">
        <f t="shared" si="4"/>
        <v>sbert2_long</v>
      </c>
    </row>
    <row r="44" spans="1:16" x14ac:dyDescent="0.35">
      <c r="A44" t="s">
        <v>56</v>
      </c>
      <c r="B44" t="s">
        <v>25</v>
      </c>
      <c r="C44">
        <v>0.47847180099999997</v>
      </c>
      <c r="D44">
        <v>0.60556563799999996</v>
      </c>
      <c r="E44" s="1">
        <v>1.1600000000000001E-13</v>
      </c>
      <c r="F44" t="s">
        <v>20</v>
      </c>
      <c r="H44">
        <v>0.21129111</v>
      </c>
      <c r="I44" t="s">
        <v>55</v>
      </c>
      <c r="J44" t="s">
        <v>15</v>
      </c>
      <c r="L44" t="str">
        <f t="shared" si="0"/>
        <v>2tLlama3.3-70B-Instruct Q</v>
      </c>
      <c r="M44" t="str">
        <f t="shared" si="1"/>
        <v>GPT-Neo-1.3B m2</v>
      </c>
      <c r="N44">
        <f t="shared" si="2"/>
        <v>0</v>
      </c>
      <c r="O44">
        <f t="shared" si="3"/>
        <v>0</v>
      </c>
      <c r="P44" t="str">
        <f t="shared" si="4"/>
        <v>GPT-Neo-1.3B m2</v>
      </c>
    </row>
    <row r="45" spans="1:16" x14ac:dyDescent="0.35">
      <c r="A45" t="s">
        <v>56</v>
      </c>
      <c r="B45" t="s">
        <v>26</v>
      </c>
      <c r="C45">
        <v>0.65433596100000002</v>
      </c>
      <c r="D45">
        <v>0.56019358699999999</v>
      </c>
      <c r="E45" s="1">
        <v>1.5300000000000001E-8</v>
      </c>
      <c r="F45" t="s">
        <v>20</v>
      </c>
      <c r="H45" s="1">
        <v>0.21129111</v>
      </c>
      <c r="I45" t="s">
        <v>55</v>
      </c>
      <c r="J45" t="s">
        <v>16</v>
      </c>
      <c r="L45" t="str">
        <f t="shared" si="0"/>
        <v>2tgpt-4o-mini Q</v>
      </c>
      <c r="M45" t="str">
        <f t="shared" si="1"/>
        <v>Llama2-7B m2</v>
      </c>
      <c r="N45">
        <f t="shared" si="2"/>
        <v>0</v>
      </c>
      <c r="O45">
        <f t="shared" si="3"/>
        <v>0</v>
      </c>
      <c r="P45" t="str">
        <f t="shared" si="4"/>
        <v>Llama2-7B m2</v>
      </c>
    </row>
    <row r="46" spans="1:16" x14ac:dyDescent="0.35">
      <c r="A46" t="s">
        <v>56</v>
      </c>
      <c r="B46" t="s">
        <v>27</v>
      </c>
      <c r="C46">
        <v>0.69193450599999995</v>
      </c>
      <c r="D46">
        <v>0.54204476700000004</v>
      </c>
      <c r="E46" s="1">
        <v>4.0500000000000001E-19</v>
      </c>
      <c r="F46" t="s">
        <v>20</v>
      </c>
      <c r="H46">
        <v>0.44125697600000002</v>
      </c>
      <c r="I46" t="s">
        <v>55</v>
      </c>
      <c r="J46" t="s">
        <v>17</v>
      </c>
      <c r="L46" t="str">
        <f t="shared" si="0"/>
        <v>2tgpt-4o Q</v>
      </c>
      <c r="M46" t="str">
        <f t="shared" si="1"/>
        <v>Llama2-13B m2</v>
      </c>
      <c r="N46">
        <f t="shared" si="2"/>
        <v>0</v>
      </c>
      <c r="O46">
        <f t="shared" si="3"/>
        <v>0</v>
      </c>
      <c r="P46" t="str">
        <f t="shared" si="4"/>
        <v>Llama2-13B m2</v>
      </c>
    </row>
    <row r="47" spans="1:16" x14ac:dyDescent="0.35">
      <c r="A47" t="s">
        <v>56</v>
      </c>
      <c r="B47" t="s">
        <v>28</v>
      </c>
      <c r="C47">
        <v>0.72650091000000006</v>
      </c>
      <c r="D47">
        <v>0.58560193599999999</v>
      </c>
      <c r="E47">
        <v>7.8599999999999998E-18</v>
      </c>
      <c r="F47" t="s">
        <v>20</v>
      </c>
      <c r="H47">
        <v>0.44125697600000002</v>
      </c>
      <c r="I47" t="s">
        <v>55</v>
      </c>
      <c r="J47" t="s">
        <v>22</v>
      </c>
      <c r="L47" t="str">
        <f t="shared" si="0"/>
        <v>2thuman</v>
      </c>
      <c r="M47" t="str">
        <f t="shared" si="1"/>
        <v>Llama2-70B m2</v>
      </c>
      <c r="N47">
        <f t="shared" si="2"/>
        <v>0</v>
      </c>
      <c r="O47">
        <f t="shared" si="3"/>
        <v>0</v>
      </c>
      <c r="P47" t="str">
        <f t="shared" si="4"/>
        <v>Llama2-70B m2</v>
      </c>
    </row>
    <row r="48" spans="1:16" x14ac:dyDescent="0.35">
      <c r="A48" t="s">
        <v>56</v>
      </c>
      <c r="B48" t="s">
        <v>29</v>
      </c>
      <c r="C48">
        <v>0.660400243</v>
      </c>
      <c r="D48">
        <v>0.64791288599999997</v>
      </c>
      <c r="E48" s="1">
        <v>0.22533362400000001</v>
      </c>
      <c r="F48" t="s">
        <v>20</v>
      </c>
      <c r="H48">
        <v>0.147159762</v>
      </c>
      <c r="I48" t="s">
        <v>13</v>
      </c>
      <c r="J48" t="s">
        <v>11</v>
      </c>
      <c r="L48" t="str">
        <f t="shared" si="0"/>
        <v>3tLlama3.1-70B-Instruct Q</v>
      </c>
      <c r="M48" t="str">
        <f t="shared" si="1"/>
        <v>Llama2-7B-chat m2</v>
      </c>
      <c r="N48">
        <f t="shared" si="2"/>
        <v>0</v>
      </c>
      <c r="O48">
        <f t="shared" si="3"/>
        <v>0</v>
      </c>
      <c r="P48" t="str">
        <f t="shared" si="4"/>
        <v>Llama2-7B-chat m2</v>
      </c>
    </row>
    <row r="49" spans="1:16" x14ac:dyDescent="0.35">
      <c r="A49" t="s">
        <v>56</v>
      </c>
      <c r="B49" t="s">
        <v>30</v>
      </c>
      <c r="C49">
        <v>0.71255306200000001</v>
      </c>
      <c r="D49">
        <v>0.61282516600000003</v>
      </c>
      <c r="E49" s="1">
        <v>6.8000000000000003E-10</v>
      </c>
      <c r="F49" t="s">
        <v>20</v>
      </c>
      <c r="H49">
        <v>0.48731727000000002</v>
      </c>
      <c r="I49" t="s">
        <v>13</v>
      </c>
      <c r="J49" t="s">
        <v>14</v>
      </c>
      <c r="L49" t="str">
        <f t="shared" si="0"/>
        <v>3tLlama3.1-405B-Instruct Q</v>
      </c>
      <c r="M49" t="str">
        <f t="shared" si="1"/>
        <v>Llama2-13B-chat m2</v>
      </c>
      <c r="N49">
        <f t="shared" si="2"/>
        <v>0</v>
      </c>
      <c r="O49">
        <f t="shared" si="3"/>
        <v>0</v>
      </c>
      <c r="P49" t="str">
        <f t="shared" si="4"/>
        <v>Llama2-13B-chat m2</v>
      </c>
    </row>
    <row r="50" spans="1:16" x14ac:dyDescent="0.35">
      <c r="A50" t="s">
        <v>56</v>
      </c>
      <c r="B50" t="s">
        <v>32</v>
      </c>
      <c r="C50">
        <v>0.70830806499999999</v>
      </c>
      <c r="D50">
        <v>0.57652752600000001</v>
      </c>
      <c r="E50" s="1">
        <v>1.4000000000000001E-15</v>
      </c>
      <c r="F50" t="s">
        <v>20</v>
      </c>
      <c r="H50">
        <v>8.7193736999999993E-2</v>
      </c>
      <c r="I50" t="s">
        <v>13</v>
      </c>
      <c r="J50" t="s">
        <v>15</v>
      </c>
      <c r="L50" t="str">
        <f t="shared" si="0"/>
        <v>3tLlama3.3-70B-Instruct Q</v>
      </c>
      <c r="M50" t="str">
        <f t="shared" si="1"/>
        <v>Llama-3-70B-Instruct-Turbo m2</v>
      </c>
      <c r="N50">
        <f t="shared" si="2"/>
        <v>0</v>
      </c>
      <c r="O50">
        <f t="shared" si="3"/>
        <v>0</v>
      </c>
      <c r="P50" t="str">
        <f t="shared" si="4"/>
        <v>Llama-3-70B-Instruct-Turbo m2</v>
      </c>
    </row>
    <row r="51" spans="1:16" x14ac:dyDescent="0.35">
      <c r="A51" t="s">
        <v>56</v>
      </c>
      <c r="B51" t="s">
        <v>33</v>
      </c>
      <c r="C51">
        <v>0.74893875099999996</v>
      </c>
      <c r="D51">
        <v>0.56503327299999995</v>
      </c>
      <c r="E51" s="1">
        <v>4.4900000000000001E-29</v>
      </c>
      <c r="F51" t="s">
        <v>20</v>
      </c>
      <c r="H51">
        <v>3.6899999999999998E-7</v>
      </c>
      <c r="I51" t="s">
        <v>13</v>
      </c>
      <c r="J51" t="s">
        <v>16</v>
      </c>
      <c r="L51" t="str">
        <f t="shared" si="0"/>
        <v>3tgpt-4o-mini Q</v>
      </c>
      <c r="M51" t="str">
        <f t="shared" si="1"/>
        <v>Llama-3.1-70B-Instruct-Turbo m2</v>
      </c>
      <c r="N51">
        <f t="shared" si="2"/>
        <v>0</v>
      </c>
      <c r="O51">
        <f t="shared" si="3"/>
        <v>0</v>
      </c>
      <c r="P51" t="str">
        <f t="shared" si="4"/>
        <v>Llama-3.1-70B-Instruct-Turbo m2</v>
      </c>
    </row>
    <row r="52" spans="1:16" x14ac:dyDescent="0.35">
      <c r="A52" t="s">
        <v>56</v>
      </c>
      <c r="B52" t="s">
        <v>35</v>
      </c>
      <c r="C52">
        <v>0.78593086700000003</v>
      </c>
      <c r="D52">
        <v>0.61645492999999996</v>
      </c>
      <c r="E52" s="1">
        <v>1.01E-26</v>
      </c>
      <c r="F52" t="s">
        <v>20</v>
      </c>
      <c r="H52">
        <v>0.27155024550000001</v>
      </c>
      <c r="I52" t="s">
        <v>13</v>
      </c>
      <c r="J52" t="s">
        <v>17</v>
      </c>
      <c r="L52" t="str">
        <f t="shared" si="0"/>
        <v>3tgpt-4o Q</v>
      </c>
      <c r="M52" t="str">
        <f t="shared" si="1"/>
        <v>Llama-3.1-405B-Instruct-Turbo m2</v>
      </c>
      <c r="N52">
        <f t="shared" si="2"/>
        <v>0</v>
      </c>
      <c r="O52">
        <f t="shared" si="3"/>
        <v>0</v>
      </c>
      <c r="P52" t="str">
        <f t="shared" si="4"/>
        <v>Llama-3.1-405B-Instruct-Turbo m2</v>
      </c>
    </row>
    <row r="53" spans="1:16" x14ac:dyDescent="0.35">
      <c r="A53" t="s">
        <v>56</v>
      </c>
      <c r="B53" t="s">
        <v>37</v>
      </c>
      <c r="C53">
        <v>0.74105518500000001</v>
      </c>
      <c r="D53">
        <v>0.56987295800000004</v>
      </c>
      <c r="E53" s="1">
        <v>2.12E-25</v>
      </c>
      <c r="F53" t="s">
        <v>20</v>
      </c>
      <c r="H53">
        <v>0.47980386959999999</v>
      </c>
      <c r="I53" t="s">
        <v>13</v>
      </c>
      <c r="J53" t="s">
        <v>22</v>
      </c>
      <c r="L53" t="str">
        <f t="shared" si="0"/>
        <v>3thuman</v>
      </c>
      <c r="M53" t="str">
        <f t="shared" si="1"/>
        <v>Llama-3.3-70B-Instruct-Turbo m2</v>
      </c>
      <c r="N53">
        <f t="shared" si="2"/>
        <v>0</v>
      </c>
      <c r="O53">
        <f t="shared" si="3"/>
        <v>0</v>
      </c>
      <c r="P53" t="str">
        <f t="shared" si="4"/>
        <v>Llama-3.3-70B-Instruct-Turbo m2</v>
      </c>
    </row>
    <row r="54" spans="1:16" x14ac:dyDescent="0.35">
      <c r="A54" t="s">
        <v>56</v>
      </c>
      <c r="B54" t="s">
        <v>39</v>
      </c>
      <c r="C54">
        <v>0.61127956299999997</v>
      </c>
      <c r="D54">
        <v>0.88747731399999996</v>
      </c>
      <c r="E54" s="1">
        <v>3.1200000000000002E-75</v>
      </c>
      <c r="F54" t="s">
        <v>20</v>
      </c>
      <c r="G54" t="s">
        <v>42</v>
      </c>
      <c r="H54">
        <v>0.15051806400000001</v>
      </c>
      <c r="I54" t="s">
        <v>50</v>
      </c>
      <c r="J54" t="s">
        <v>19</v>
      </c>
      <c r="L54" t="str">
        <f t="shared" si="0"/>
        <v>7mglove add_lem</v>
      </c>
      <c r="M54" t="str">
        <f t="shared" si="1"/>
        <v>3qLlama2-70B mixedprompt</v>
      </c>
      <c r="N54">
        <f t="shared" si="2"/>
        <v>1.2480000000000001E-74</v>
      </c>
      <c r="O54" t="str">
        <f t="shared" si="3"/>
        <v>3q</v>
      </c>
      <c r="P54" t="str">
        <f t="shared" si="4"/>
        <v>Llama2-70B mixedprompt</v>
      </c>
    </row>
    <row r="55" spans="1:16" x14ac:dyDescent="0.35">
      <c r="A55" t="s">
        <v>56</v>
      </c>
      <c r="B55" t="s">
        <v>41</v>
      </c>
      <c r="C55">
        <v>0.38204972700000001</v>
      </c>
      <c r="D55">
        <v>0.85057471299999998</v>
      </c>
      <c r="E55" s="1">
        <v>5.1300000000000002E-169</v>
      </c>
      <c r="F55" t="s">
        <v>20</v>
      </c>
      <c r="G55" t="s">
        <v>42</v>
      </c>
      <c r="H55">
        <v>6.9599999999999999E-18</v>
      </c>
      <c r="I55" t="s">
        <v>50</v>
      </c>
      <c r="J55" t="s">
        <v>23</v>
      </c>
      <c r="L55" t="str">
        <f t="shared" si="0"/>
        <v>7msbert2_long</v>
      </c>
      <c r="M55" t="str">
        <f t="shared" si="1"/>
        <v>3qLlama2-13B-chat mixedprompt</v>
      </c>
      <c r="N55">
        <f t="shared" si="2"/>
        <v>4.1040000000000001E-168</v>
      </c>
      <c r="O55" t="str">
        <f t="shared" si="3"/>
        <v>3q</v>
      </c>
      <c r="P55" t="str">
        <f t="shared" si="4"/>
        <v>Llama2-13B-chat mixedprompt</v>
      </c>
    </row>
    <row r="56" spans="1:16" x14ac:dyDescent="0.35">
      <c r="A56" t="s">
        <v>56</v>
      </c>
      <c r="B56" t="s">
        <v>43</v>
      </c>
      <c r="C56">
        <v>0.83505154599999998</v>
      </c>
      <c r="D56">
        <v>0.918935269</v>
      </c>
      <c r="E56">
        <v>1.07E-13</v>
      </c>
      <c r="F56" t="s">
        <v>20</v>
      </c>
      <c r="G56" t="s">
        <v>42</v>
      </c>
      <c r="H56">
        <v>2.7150000000000001E-11</v>
      </c>
      <c r="I56" t="s">
        <v>50</v>
      </c>
      <c r="J56" t="s">
        <v>34</v>
      </c>
      <c r="L56" t="str">
        <f t="shared" si="0"/>
        <v>7mLlama-3-70B-Instruct c</v>
      </c>
      <c r="M56" t="str">
        <f t="shared" si="1"/>
        <v>3qLlama-3.1-70B-Instruct-Turbo mixedprompt</v>
      </c>
      <c r="N56">
        <f t="shared" si="2"/>
        <v>1.4266666666666599E-13</v>
      </c>
      <c r="O56" t="str">
        <f t="shared" si="3"/>
        <v>3q</v>
      </c>
      <c r="P56" t="str">
        <f t="shared" si="4"/>
        <v>Llama-3.1-70B-Instruct-Turbo mixedprompt</v>
      </c>
    </row>
    <row r="57" spans="1:16" x14ac:dyDescent="0.35">
      <c r="A57" t="s">
        <v>56</v>
      </c>
      <c r="B57" t="s">
        <v>44</v>
      </c>
      <c r="C57">
        <v>0.91206792000000003</v>
      </c>
      <c r="D57">
        <v>0.90139141</v>
      </c>
      <c r="E57" s="1">
        <v>0.145762158</v>
      </c>
      <c r="F57" t="s">
        <v>20</v>
      </c>
      <c r="G57" t="s">
        <v>42</v>
      </c>
      <c r="H57">
        <v>8.3639999999999899E-7</v>
      </c>
      <c r="I57" t="s">
        <v>50</v>
      </c>
      <c r="J57" t="s">
        <v>36</v>
      </c>
      <c r="L57" t="str">
        <f t="shared" si="0"/>
        <v>7mLlama-3.1-70B-Instruct c</v>
      </c>
      <c r="M57" t="str">
        <f t="shared" si="1"/>
        <v>3qLlama-3.1-405B-Instruct-Turbo mixedprompt</v>
      </c>
      <c r="N57">
        <f t="shared" si="2"/>
        <v>0.145762158</v>
      </c>
      <c r="O57" t="str">
        <f t="shared" si="3"/>
        <v>3q</v>
      </c>
      <c r="P57" t="str">
        <f t="shared" si="4"/>
        <v>Llama-3.1-405B-Instruct-Turbo mixedprompt</v>
      </c>
    </row>
    <row r="58" spans="1:16" x14ac:dyDescent="0.35">
      <c r="A58" t="s">
        <v>56</v>
      </c>
      <c r="B58" t="s">
        <v>45</v>
      </c>
      <c r="C58">
        <v>0.83929654300000001</v>
      </c>
      <c r="D58">
        <v>0.92498487600000001</v>
      </c>
      <c r="E58" s="1">
        <v>1.11E-14</v>
      </c>
      <c r="F58" t="s">
        <v>20</v>
      </c>
      <c r="G58" t="s">
        <v>42</v>
      </c>
      <c r="H58">
        <v>2.7900000000000001E-9</v>
      </c>
      <c r="I58" t="s">
        <v>50</v>
      </c>
      <c r="J58" t="s">
        <v>38</v>
      </c>
      <c r="L58" t="str">
        <f t="shared" si="0"/>
        <v>7mLlama-3.1-405B-Instruct c</v>
      </c>
      <c r="M58" t="str">
        <f t="shared" si="1"/>
        <v>3qLlama-3.3-70B-Instruct-Turbo mixedprompt</v>
      </c>
      <c r="N58">
        <f t="shared" si="2"/>
        <v>1.77599999999999E-14</v>
      </c>
      <c r="O58" t="str">
        <f t="shared" si="3"/>
        <v>3q</v>
      </c>
      <c r="P58" t="str">
        <f t="shared" si="4"/>
        <v>Llama-3.3-70B-Instruct-Turbo mixedprompt</v>
      </c>
    </row>
    <row r="59" spans="1:16" x14ac:dyDescent="0.35">
      <c r="A59" t="s">
        <v>56</v>
      </c>
      <c r="B59" t="s">
        <v>46</v>
      </c>
      <c r="C59">
        <v>0.73256519099999995</v>
      </c>
      <c r="D59">
        <v>0.92921960100000001</v>
      </c>
      <c r="E59" s="1">
        <v>1.1399999999999999E-51</v>
      </c>
      <c r="F59" t="s">
        <v>20</v>
      </c>
      <c r="G59" t="s">
        <v>42</v>
      </c>
      <c r="H59" s="1">
        <v>4.5199999999999999E-10</v>
      </c>
      <c r="I59" t="s">
        <v>50</v>
      </c>
      <c r="J59" t="s">
        <v>40</v>
      </c>
      <c r="L59" t="str">
        <f t="shared" si="0"/>
        <v>7mLlama-3.3-70B-Instruct c</v>
      </c>
      <c r="M59" t="str">
        <f t="shared" si="1"/>
        <v>3qGPT-4o-mini mixedprompt</v>
      </c>
      <c r="N59">
        <f t="shared" si="2"/>
        <v>3.0399999999999902E-51</v>
      </c>
      <c r="O59" t="str">
        <f t="shared" si="3"/>
        <v>3q</v>
      </c>
      <c r="P59" t="str">
        <f t="shared" si="4"/>
        <v>GPT-4o-mini mixedprompt</v>
      </c>
    </row>
    <row r="60" spans="1:16" x14ac:dyDescent="0.35">
      <c r="A60" t="s">
        <v>56</v>
      </c>
      <c r="B60" t="s">
        <v>47</v>
      </c>
      <c r="C60">
        <v>0.90115221300000004</v>
      </c>
      <c r="D60">
        <v>0.95220810600000005</v>
      </c>
      <c r="E60" s="1">
        <v>9.0799999999999993E-9</v>
      </c>
      <c r="F60" t="s">
        <v>20</v>
      </c>
      <c r="G60" t="s">
        <v>42</v>
      </c>
      <c r="H60">
        <v>2.8799999999999999E-31</v>
      </c>
      <c r="I60">
        <v>8</v>
      </c>
      <c r="J60" t="s">
        <v>63</v>
      </c>
      <c r="L60" t="str">
        <f t="shared" si="0"/>
        <v>8Llama-3-70B-Instruct</v>
      </c>
      <c r="M60" t="str">
        <f t="shared" si="1"/>
        <v>3qGPT-4o mixedprompt</v>
      </c>
      <c r="N60">
        <f t="shared" si="2"/>
        <v>1.03771428571428E-8</v>
      </c>
      <c r="O60" t="str">
        <f t="shared" si="3"/>
        <v>3q</v>
      </c>
      <c r="P60" t="str">
        <f t="shared" si="4"/>
        <v>GPT-4o mixedprompt</v>
      </c>
    </row>
    <row r="61" spans="1:16" x14ac:dyDescent="0.35">
      <c r="A61" t="s">
        <v>56</v>
      </c>
      <c r="B61" t="s">
        <v>48</v>
      </c>
      <c r="C61">
        <v>0.87083080700000004</v>
      </c>
      <c r="D61">
        <v>0.95583787099999995</v>
      </c>
      <c r="E61" s="1">
        <v>1.9200000000000002E-18</v>
      </c>
      <c r="F61" t="s">
        <v>20</v>
      </c>
      <c r="G61" t="s">
        <v>42</v>
      </c>
      <c r="H61">
        <v>6.7599999999999996E-35</v>
      </c>
      <c r="I61">
        <v>8</v>
      </c>
      <c r="J61" t="s">
        <v>64</v>
      </c>
      <c r="L61" t="str">
        <f t="shared" si="0"/>
        <v>8Llama-3.1-70B-Instruct</v>
      </c>
      <c r="M61" t="str">
        <f t="shared" si="1"/>
        <v>3qo1-mini mixedprompt</v>
      </c>
      <c r="N61">
        <f t="shared" si="2"/>
        <v>3.8400000000000004E-18</v>
      </c>
      <c r="O61" t="str">
        <f t="shared" si="3"/>
        <v>3q</v>
      </c>
      <c r="P61" t="str">
        <f t="shared" si="4"/>
        <v>o1-mini mixedprompt</v>
      </c>
    </row>
    <row r="62" spans="1:16" x14ac:dyDescent="0.35">
      <c r="A62" t="s">
        <v>56</v>
      </c>
      <c r="B62" t="s">
        <v>34</v>
      </c>
      <c r="C62">
        <v>0.73195876299999996</v>
      </c>
      <c r="D62">
        <v>0.55676547700000001</v>
      </c>
      <c r="E62" s="1">
        <v>2.1E-74</v>
      </c>
      <c r="F62" t="s">
        <v>20</v>
      </c>
      <c r="G62" t="s">
        <v>54</v>
      </c>
      <c r="H62">
        <v>3.76E-62</v>
      </c>
      <c r="I62">
        <v>8</v>
      </c>
      <c r="J62" t="s">
        <v>65</v>
      </c>
      <c r="L62" t="str">
        <f t="shared" si="0"/>
        <v>8Llama-3.1-405B-Instruct</v>
      </c>
      <c r="M62" t="str">
        <f t="shared" si="1"/>
        <v>3mLlama-3-70B-Instruct c</v>
      </c>
      <c r="N62">
        <f t="shared" si="2"/>
        <v>3.15E-74</v>
      </c>
      <c r="O62" t="str">
        <f t="shared" si="3"/>
        <v>3m</v>
      </c>
      <c r="P62" t="str">
        <f t="shared" si="4"/>
        <v>Llama-3-70B-Instruct c</v>
      </c>
    </row>
    <row r="63" spans="1:16" x14ac:dyDescent="0.35">
      <c r="A63" t="s">
        <v>56</v>
      </c>
      <c r="B63" t="s">
        <v>49</v>
      </c>
      <c r="C63">
        <v>0.68617343799999997</v>
      </c>
      <c r="D63">
        <v>0.50544464600000005</v>
      </c>
      <c r="E63" s="1">
        <v>6.3499999999999999E-51</v>
      </c>
      <c r="F63" t="s">
        <v>20</v>
      </c>
      <c r="H63" s="1">
        <v>6.2400000000000003E-41</v>
      </c>
      <c r="I63">
        <v>8</v>
      </c>
      <c r="J63" t="s">
        <v>66</v>
      </c>
      <c r="L63" t="str">
        <f t="shared" si="0"/>
        <v>8Llama-3.3-70B-Instruct</v>
      </c>
      <c r="M63" t="str">
        <f t="shared" si="1"/>
        <v>Llama-3-70B-Instruct cf</v>
      </c>
      <c r="N63">
        <f t="shared" si="2"/>
        <v>0</v>
      </c>
      <c r="O63">
        <f t="shared" si="3"/>
        <v>0</v>
      </c>
      <c r="P63" t="str">
        <f t="shared" si="4"/>
        <v>Llama-3-70B-Instruct cf</v>
      </c>
    </row>
    <row r="64" spans="1:16" x14ac:dyDescent="0.35">
      <c r="A64" t="s">
        <v>56</v>
      </c>
      <c r="B64" t="s">
        <v>36</v>
      </c>
      <c r="C64">
        <v>0.74226804099999999</v>
      </c>
      <c r="D64">
        <v>0.55152248400000004</v>
      </c>
      <c r="E64" s="1">
        <v>4.5400000000000001E-88</v>
      </c>
      <c r="F64" t="s">
        <v>20</v>
      </c>
      <c r="G64" t="s">
        <v>54</v>
      </c>
      <c r="H64" s="1">
        <v>1.2480000000000001E-74</v>
      </c>
      <c r="I64" t="s">
        <v>42</v>
      </c>
      <c r="J64" t="s">
        <v>39</v>
      </c>
      <c r="L64" t="str">
        <f t="shared" si="0"/>
        <v>3qLlama2-70B mixedprompt</v>
      </c>
      <c r="M64" t="str">
        <f t="shared" si="1"/>
        <v>3mLlama-3.1-70B-Instruct c</v>
      </c>
      <c r="N64">
        <f t="shared" si="2"/>
        <v>9.0800000000000001E-88</v>
      </c>
      <c r="O64" t="str">
        <f t="shared" si="3"/>
        <v>3m</v>
      </c>
      <c r="P64" t="str">
        <f t="shared" si="4"/>
        <v>Llama-3.1-70B-Instruct c</v>
      </c>
    </row>
    <row r="65" spans="1:16" x14ac:dyDescent="0.35">
      <c r="A65" t="s">
        <v>56</v>
      </c>
      <c r="B65" t="s">
        <v>51</v>
      </c>
      <c r="C65">
        <v>0.69193450599999995</v>
      </c>
      <c r="D65">
        <v>0.51391409600000004</v>
      </c>
      <c r="E65" s="1">
        <v>9.4700000000000004E-50</v>
      </c>
      <c r="F65" t="s">
        <v>20</v>
      </c>
      <c r="H65" s="1">
        <v>4.1040000000000001E-168</v>
      </c>
      <c r="I65" t="s">
        <v>42</v>
      </c>
      <c r="J65" t="s">
        <v>41</v>
      </c>
      <c r="L65" t="str">
        <f t="shared" si="0"/>
        <v>3qLlama2-13B-chat mixedprompt</v>
      </c>
      <c r="M65" t="str">
        <f t="shared" si="1"/>
        <v>Llama-3.1-70B-Instruct cf</v>
      </c>
      <c r="N65">
        <f t="shared" si="2"/>
        <v>0</v>
      </c>
      <c r="O65">
        <f t="shared" si="3"/>
        <v>0</v>
      </c>
      <c r="P65" t="str">
        <f t="shared" si="4"/>
        <v>Llama-3.1-70B-Instruct cf</v>
      </c>
    </row>
    <row r="66" spans="1:16" x14ac:dyDescent="0.35">
      <c r="A66" t="s">
        <v>56</v>
      </c>
      <c r="B66" t="s">
        <v>38</v>
      </c>
      <c r="C66">
        <v>0.79967657199999997</v>
      </c>
      <c r="D66">
        <v>0.58983666099999998</v>
      </c>
      <c r="E66" s="1">
        <v>4.0999999999999997E-114</v>
      </c>
      <c r="F66" t="s">
        <v>20</v>
      </c>
      <c r="G66" t="s">
        <v>54</v>
      </c>
      <c r="H66" s="1">
        <v>1.4266666666666599E-13</v>
      </c>
      <c r="I66" t="s">
        <v>42</v>
      </c>
      <c r="J66" t="s">
        <v>43</v>
      </c>
      <c r="L66" t="str">
        <f t="shared" si="0"/>
        <v>3qLlama-3.1-70B-Instruct-Turbo mixedprompt</v>
      </c>
      <c r="M66" t="str">
        <f t="shared" si="1"/>
        <v>3mLlama-3.1-405B-Instruct c</v>
      </c>
      <c r="N66">
        <f t="shared" si="2"/>
        <v>1.2299999999999899E-113</v>
      </c>
      <c r="O66" t="str">
        <f t="shared" si="3"/>
        <v>3m</v>
      </c>
      <c r="P66" t="str">
        <f t="shared" si="4"/>
        <v>Llama-3.1-405B-Instruct c</v>
      </c>
    </row>
    <row r="67" spans="1:16" x14ac:dyDescent="0.35">
      <c r="A67" t="s">
        <v>56</v>
      </c>
      <c r="B67" t="s">
        <v>52</v>
      </c>
      <c r="C67">
        <v>0.70891449399999995</v>
      </c>
      <c r="D67">
        <v>0.54416212900000005</v>
      </c>
      <c r="E67" s="1">
        <v>7.4800000000000005E-44</v>
      </c>
      <c r="F67" t="s">
        <v>20</v>
      </c>
      <c r="H67" s="1">
        <v>0.145762158</v>
      </c>
      <c r="I67" t="s">
        <v>42</v>
      </c>
      <c r="J67" t="s">
        <v>44</v>
      </c>
      <c r="L67" t="str">
        <f t="shared" ref="L67:L130" si="5">I67&amp;J67</f>
        <v>3qLlama-3.1-405B-Instruct-Turbo mixedprompt</v>
      </c>
      <c r="M67" t="str">
        <f t="shared" ref="M67:M130" si="6">G67&amp;B67</f>
        <v>Llama-3.1-405B-Instruct cf</v>
      </c>
      <c r="N67">
        <f t="shared" ref="N67:N130" si="7">INDEX(H:H,MATCH(M67,L:L,0))</f>
        <v>0</v>
      </c>
      <c r="O67">
        <f t="shared" ref="O67:O130" si="8">_xlfn.IFNA(INDEX(I:I,MATCH(M67,L:L,0)),"")</f>
        <v>0</v>
      </c>
      <c r="P67" t="str">
        <f t="shared" ref="P67:P130" si="9">INDEX(J:J,MATCH(M67,L:L,0))</f>
        <v>Llama-3.1-405B-Instruct cf</v>
      </c>
    </row>
    <row r="68" spans="1:16" x14ac:dyDescent="0.35">
      <c r="A68" t="s">
        <v>56</v>
      </c>
      <c r="B68" t="s">
        <v>40</v>
      </c>
      <c r="C68">
        <v>0.72912876500000001</v>
      </c>
      <c r="D68">
        <v>0.57430933699999998</v>
      </c>
      <c r="E68" s="1">
        <v>4.0799999999999999E-59</v>
      </c>
      <c r="F68" t="s">
        <v>20</v>
      </c>
      <c r="G68" t="s">
        <v>54</v>
      </c>
      <c r="H68" s="1">
        <v>1.77599999999999E-14</v>
      </c>
      <c r="I68" t="s">
        <v>42</v>
      </c>
      <c r="J68" t="s">
        <v>45</v>
      </c>
      <c r="L68" t="str">
        <f t="shared" si="5"/>
        <v>3qLlama-3.3-70B-Instruct-Turbo mixedprompt</v>
      </c>
      <c r="M68" t="str">
        <f t="shared" si="6"/>
        <v>3mLlama-3.3-70B-Instruct c</v>
      </c>
      <c r="N68">
        <f t="shared" si="7"/>
        <v>4.8959999999999897E-59</v>
      </c>
      <c r="O68" t="str">
        <f t="shared" si="8"/>
        <v>3m</v>
      </c>
      <c r="P68" t="str">
        <f t="shared" si="9"/>
        <v>Llama-3.3-70B-Instruct c</v>
      </c>
    </row>
    <row r="69" spans="1:16" x14ac:dyDescent="0.35">
      <c r="A69" t="s">
        <v>56</v>
      </c>
      <c r="B69" t="s">
        <v>53</v>
      </c>
      <c r="C69">
        <v>0.68950879300000001</v>
      </c>
      <c r="D69">
        <v>0.52087114300000004</v>
      </c>
      <c r="E69">
        <v>6.0999999999999996E-45</v>
      </c>
      <c r="F69" t="s">
        <v>20</v>
      </c>
      <c r="H69">
        <v>3.0399999999999902E-51</v>
      </c>
      <c r="I69" t="s">
        <v>42</v>
      </c>
      <c r="J69" t="s">
        <v>46</v>
      </c>
      <c r="L69" t="str">
        <f t="shared" si="5"/>
        <v>3qGPT-4o-mini mixedprompt</v>
      </c>
      <c r="M69" t="str">
        <f t="shared" si="6"/>
        <v>Llama-3.3-70B-Instruct cf</v>
      </c>
      <c r="N69">
        <f t="shared" si="7"/>
        <v>0</v>
      </c>
      <c r="O69">
        <f t="shared" si="8"/>
        <v>0</v>
      </c>
      <c r="P69" t="str">
        <f t="shared" si="9"/>
        <v>Llama-3.3-70B-Instruct cf</v>
      </c>
    </row>
    <row r="70" spans="1:16" x14ac:dyDescent="0.35">
      <c r="A70" t="s">
        <v>56</v>
      </c>
      <c r="B70" t="s">
        <v>11</v>
      </c>
      <c r="C70">
        <v>0.86746988000000003</v>
      </c>
      <c r="D70">
        <v>0.91666666699999999</v>
      </c>
      <c r="E70">
        <v>7.3579881E-2</v>
      </c>
      <c r="F70" t="s">
        <v>20</v>
      </c>
      <c r="G70" t="s">
        <v>13</v>
      </c>
      <c r="H70">
        <v>1.03771428571428E-8</v>
      </c>
      <c r="I70" t="s">
        <v>42</v>
      </c>
      <c r="J70" t="s">
        <v>47</v>
      </c>
      <c r="L70" t="str">
        <f t="shared" si="5"/>
        <v>3qGPT-4o mixedprompt</v>
      </c>
      <c r="M70" t="str">
        <f t="shared" si="6"/>
        <v>3tLlama3.1-70B-Instruct Q</v>
      </c>
      <c r="N70">
        <f t="shared" si="7"/>
        <v>0.147159762</v>
      </c>
      <c r="O70" t="str">
        <f t="shared" si="8"/>
        <v>3t</v>
      </c>
      <c r="P70" t="str">
        <f t="shared" si="9"/>
        <v>Llama3.1-70B-Instruct Q</v>
      </c>
    </row>
    <row r="71" spans="1:16" x14ac:dyDescent="0.35">
      <c r="A71" t="s">
        <v>56</v>
      </c>
      <c r="B71" t="s">
        <v>14</v>
      </c>
      <c r="C71">
        <v>0.92168674699999997</v>
      </c>
      <c r="D71">
        <v>0.92261904800000005</v>
      </c>
      <c r="E71">
        <v>0.48731727000000002</v>
      </c>
      <c r="F71" t="s">
        <v>20</v>
      </c>
      <c r="G71" t="s">
        <v>13</v>
      </c>
      <c r="H71">
        <v>3.8400000000000004E-18</v>
      </c>
      <c r="I71" t="s">
        <v>42</v>
      </c>
      <c r="J71" t="s">
        <v>48</v>
      </c>
      <c r="L71" t="str">
        <f t="shared" si="5"/>
        <v>3qo1-mini mixedprompt</v>
      </c>
      <c r="M71" t="str">
        <f t="shared" si="6"/>
        <v>3tLlama3.1-405B-Instruct Q</v>
      </c>
      <c r="N71">
        <f t="shared" si="7"/>
        <v>0.48731727000000002</v>
      </c>
      <c r="O71" t="str">
        <f t="shared" si="8"/>
        <v>3t</v>
      </c>
      <c r="P71" t="str">
        <f t="shared" si="9"/>
        <v>Llama3.1-405B-Instruct Q</v>
      </c>
    </row>
    <row r="72" spans="1:16" x14ac:dyDescent="0.35">
      <c r="A72" t="s">
        <v>56</v>
      </c>
      <c r="B72" t="s">
        <v>15</v>
      </c>
      <c r="C72">
        <v>0.87349397600000001</v>
      </c>
      <c r="D72">
        <v>0.93452380999999995</v>
      </c>
      <c r="E72">
        <v>2.9064579E-2</v>
      </c>
      <c r="F72" t="s">
        <v>20</v>
      </c>
      <c r="G72" t="s">
        <v>13</v>
      </c>
      <c r="H72">
        <v>1.54E-11</v>
      </c>
      <c r="I72" t="s">
        <v>54</v>
      </c>
      <c r="J72" t="s">
        <v>19</v>
      </c>
      <c r="L72" t="str">
        <f t="shared" si="5"/>
        <v>3mglove add_lem</v>
      </c>
      <c r="M72" t="str">
        <f t="shared" si="6"/>
        <v>3tLlama3.3-70B-Instruct Q</v>
      </c>
      <c r="N72">
        <f t="shared" si="7"/>
        <v>8.7193736999999993E-2</v>
      </c>
      <c r="O72" t="str">
        <f t="shared" si="8"/>
        <v>3t</v>
      </c>
      <c r="P72" t="str">
        <f t="shared" si="9"/>
        <v>Llama3.3-70B-Instruct Q</v>
      </c>
    </row>
    <row r="73" spans="1:16" x14ac:dyDescent="0.35">
      <c r="A73" t="s">
        <v>56</v>
      </c>
      <c r="B73" t="s">
        <v>16</v>
      </c>
      <c r="C73">
        <v>0.73493975899999997</v>
      </c>
      <c r="D73">
        <v>0.946428571</v>
      </c>
      <c r="E73">
        <v>6.1500000000000001E-8</v>
      </c>
      <c r="F73" t="s">
        <v>20</v>
      </c>
      <c r="G73" t="s">
        <v>13</v>
      </c>
      <c r="H73">
        <v>0</v>
      </c>
      <c r="I73" t="s">
        <v>54</v>
      </c>
      <c r="J73" t="s">
        <v>23</v>
      </c>
      <c r="L73" t="str">
        <f t="shared" si="5"/>
        <v>3msbert2_long</v>
      </c>
      <c r="M73" t="str">
        <f t="shared" si="6"/>
        <v>3tgpt-4o-mini Q</v>
      </c>
      <c r="N73">
        <f t="shared" si="7"/>
        <v>3.6899999999999998E-7</v>
      </c>
      <c r="O73" t="str">
        <f t="shared" si="8"/>
        <v>3t</v>
      </c>
      <c r="P73" t="str">
        <f t="shared" si="9"/>
        <v>gpt-4o-mini Q</v>
      </c>
    </row>
    <row r="74" spans="1:16" x14ac:dyDescent="0.35">
      <c r="A74" t="s">
        <v>56</v>
      </c>
      <c r="B74" t="s">
        <v>17</v>
      </c>
      <c r="C74">
        <v>0.92168674699999997</v>
      </c>
      <c r="D74">
        <v>0.946428571</v>
      </c>
      <c r="E74">
        <v>0.18103349699999999</v>
      </c>
      <c r="F74" t="s">
        <v>20</v>
      </c>
      <c r="G74" t="s">
        <v>13</v>
      </c>
      <c r="H74">
        <v>3.15E-74</v>
      </c>
      <c r="I74" t="s">
        <v>54</v>
      </c>
      <c r="J74" t="s">
        <v>34</v>
      </c>
      <c r="L74" t="str">
        <f t="shared" si="5"/>
        <v>3mLlama-3-70B-Instruct c</v>
      </c>
      <c r="M74" t="str">
        <f t="shared" si="6"/>
        <v>3tgpt-4o Q</v>
      </c>
      <c r="N74">
        <f t="shared" si="7"/>
        <v>0.27155024550000001</v>
      </c>
      <c r="O74" t="str">
        <f t="shared" si="8"/>
        <v>3t</v>
      </c>
      <c r="P74" t="str">
        <f t="shared" si="9"/>
        <v>gpt-4o Q</v>
      </c>
    </row>
    <row r="75" spans="1:16" x14ac:dyDescent="0.35">
      <c r="A75" t="s">
        <v>56</v>
      </c>
      <c r="B75" t="s">
        <v>85</v>
      </c>
      <c r="C75">
        <v>0.86385542199999998</v>
      </c>
      <c r="D75">
        <v>0.93333333299999999</v>
      </c>
      <c r="E75">
        <v>1.26E-6</v>
      </c>
      <c r="F75" t="s">
        <v>20</v>
      </c>
      <c r="H75">
        <v>9.0800000000000001E-88</v>
      </c>
      <c r="I75" t="s">
        <v>54</v>
      </c>
      <c r="J75" t="s">
        <v>36</v>
      </c>
      <c r="L75" t="str">
        <f t="shared" si="5"/>
        <v>3mLlama-3.1-70B-Instruct c</v>
      </c>
      <c r="M75" t="str">
        <f t="shared" si="6"/>
        <v>q_test_total</v>
      </c>
      <c r="N75">
        <f t="shared" si="7"/>
        <v>0</v>
      </c>
      <c r="O75">
        <f t="shared" si="8"/>
        <v>0</v>
      </c>
      <c r="P75" t="str">
        <f t="shared" si="9"/>
        <v>q_test_total</v>
      </c>
    </row>
    <row r="76" spans="1:16" x14ac:dyDescent="0.35">
      <c r="A76" t="s">
        <v>56</v>
      </c>
      <c r="B76" t="s">
        <v>22</v>
      </c>
      <c r="C76">
        <v>0.93373494000000001</v>
      </c>
      <c r="D76">
        <v>0.94047619000000005</v>
      </c>
      <c r="E76">
        <v>0.39983655800000001</v>
      </c>
      <c r="F76" t="s">
        <v>20</v>
      </c>
      <c r="G76" t="s">
        <v>13</v>
      </c>
      <c r="H76">
        <v>1.2299999999999899E-113</v>
      </c>
      <c r="I76" t="s">
        <v>54</v>
      </c>
      <c r="J76" t="s">
        <v>38</v>
      </c>
      <c r="L76" t="str">
        <f t="shared" si="5"/>
        <v>3mLlama-3.1-405B-Instruct c</v>
      </c>
      <c r="M76" t="str">
        <f t="shared" si="6"/>
        <v>3thuman</v>
      </c>
      <c r="N76">
        <f t="shared" si="7"/>
        <v>0.47980386959999999</v>
      </c>
      <c r="O76" t="str">
        <f t="shared" si="8"/>
        <v>3t</v>
      </c>
      <c r="P76" t="str">
        <f t="shared" si="9"/>
        <v>human</v>
      </c>
    </row>
    <row r="77" spans="1:16" x14ac:dyDescent="0.35">
      <c r="A77" t="s">
        <v>60</v>
      </c>
      <c r="B77" t="s">
        <v>19</v>
      </c>
      <c r="C77">
        <v>0.54722550199999997</v>
      </c>
      <c r="D77">
        <v>0.555456438</v>
      </c>
      <c r="E77">
        <v>0.24829105400000001</v>
      </c>
      <c r="F77" t="s">
        <v>20</v>
      </c>
      <c r="G77" t="s">
        <v>58</v>
      </c>
      <c r="H77">
        <v>4.8959999999999897E-59</v>
      </c>
      <c r="I77" t="s">
        <v>54</v>
      </c>
      <c r="J77" t="s">
        <v>40</v>
      </c>
      <c r="L77" t="str">
        <f t="shared" si="5"/>
        <v>3mLlama-3.3-70B-Instruct c</v>
      </c>
      <c r="M77" t="str">
        <f t="shared" si="6"/>
        <v>4mglove add_lem</v>
      </c>
      <c r="N77">
        <f t="shared" si="7"/>
        <v>0.24829105400000001</v>
      </c>
      <c r="O77" t="str">
        <f t="shared" si="8"/>
        <v>4m</v>
      </c>
      <c r="P77" t="str">
        <f t="shared" si="9"/>
        <v>glove add_lem</v>
      </c>
    </row>
    <row r="78" spans="1:16" x14ac:dyDescent="0.35">
      <c r="A78" t="s">
        <v>60</v>
      </c>
      <c r="B78" t="s">
        <v>23</v>
      </c>
      <c r="C78">
        <v>0.60436137099999998</v>
      </c>
      <c r="D78">
        <v>0.63061041299999998</v>
      </c>
      <c r="E78">
        <v>5.3137990000000001E-3</v>
      </c>
      <c r="F78" t="s">
        <v>20</v>
      </c>
      <c r="G78" t="s">
        <v>58</v>
      </c>
      <c r="H78">
        <v>0.26390889000000001</v>
      </c>
      <c r="I78" t="s">
        <v>31</v>
      </c>
      <c r="J78" t="s">
        <v>19</v>
      </c>
      <c r="L78" t="str">
        <f t="shared" si="5"/>
        <v>5mglove add_lem</v>
      </c>
      <c r="M78" t="str">
        <f t="shared" si="6"/>
        <v>4msbert2_long</v>
      </c>
      <c r="N78">
        <f t="shared" si="7"/>
        <v>6.3765587999999899E-3</v>
      </c>
      <c r="O78" t="str">
        <f t="shared" si="8"/>
        <v>4m</v>
      </c>
      <c r="P78" t="str">
        <f t="shared" si="9"/>
        <v>sbert2_long</v>
      </c>
    </row>
    <row r="79" spans="1:16" x14ac:dyDescent="0.35">
      <c r="A79" t="s">
        <v>60</v>
      </c>
      <c r="B79" t="s">
        <v>25</v>
      </c>
      <c r="C79">
        <v>0.57209612799999998</v>
      </c>
      <c r="D79">
        <v>0.59403052099999998</v>
      </c>
      <c r="E79">
        <v>1.7677042E-2</v>
      </c>
      <c r="F79" t="s">
        <v>20</v>
      </c>
      <c r="H79">
        <v>0.38518788599999998</v>
      </c>
      <c r="I79" t="s">
        <v>31</v>
      </c>
      <c r="J79" t="s">
        <v>23</v>
      </c>
      <c r="L79" t="str">
        <f t="shared" si="5"/>
        <v>5msbert2_long</v>
      </c>
      <c r="M79" t="str">
        <f t="shared" si="6"/>
        <v>GPT-Neo-1.3B m2</v>
      </c>
      <c r="N79">
        <f t="shared" si="7"/>
        <v>0</v>
      </c>
      <c r="O79">
        <f t="shared" si="8"/>
        <v>0</v>
      </c>
      <c r="P79" t="str">
        <f t="shared" si="9"/>
        <v>GPT-Neo-1.3B m2</v>
      </c>
    </row>
    <row r="80" spans="1:16" x14ac:dyDescent="0.35">
      <c r="A80" t="s">
        <v>60</v>
      </c>
      <c r="B80" t="s">
        <v>26</v>
      </c>
      <c r="C80">
        <v>0.64352469999999995</v>
      </c>
      <c r="D80">
        <v>0.66741472199999996</v>
      </c>
      <c r="E80">
        <v>8.7063690000000003E-3</v>
      </c>
      <c r="F80" t="s">
        <v>20</v>
      </c>
      <c r="H80">
        <v>4.32903E-4</v>
      </c>
      <c r="I80" t="s">
        <v>31</v>
      </c>
      <c r="J80" t="s">
        <v>34</v>
      </c>
      <c r="L80" t="str">
        <f t="shared" si="5"/>
        <v>5mLlama-3-70B-Instruct c</v>
      </c>
      <c r="M80" t="str">
        <f t="shared" si="6"/>
        <v>Llama2-7B m2</v>
      </c>
      <c r="N80">
        <f t="shared" si="7"/>
        <v>0</v>
      </c>
      <c r="O80">
        <f t="shared" si="8"/>
        <v>0</v>
      </c>
      <c r="P80" t="str">
        <f t="shared" si="9"/>
        <v>Llama2-7B m2</v>
      </c>
    </row>
    <row r="81" spans="1:16" x14ac:dyDescent="0.35">
      <c r="A81" t="s">
        <v>60</v>
      </c>
      <c r="B81" t="s">
        <v>27</v>
      </c>
      <c r="C81">
        <v>0.65487316399999995</v>
      </c>
      <c r="D81">
        <v>0.68447037700000002</v>
      </c>
      <c r="E81">
        <v>1.457868E-3</v>
      </c>
      <c r="F81" t="s">
        <v>20</v>
      </c>
      <c r="H81" s="1">
        <v>2.5995946499999999E-2</v>
      </c>
      <c r="I81" t="s">
        <v>31</v>
      </c>
      <c r="J81" t="s">
        <v>36</v>
      </c>
      <c r="L81" t="str">
        <f t="shared" si="5"/>
        <v>5mLlama-3.1-70B-Instruct c</v>
      </c>
      <c r="M81" t="str">
        <f t="shared" si="6"/>
        <v>Llama2-13B m2</v>
      </c>
      <c r="N81">
        <f t="shared" si="7"/>
        <v>0</v>
      </c>
      <c r="O81">
        <f t="shared" si="8"/>
        <v>0</v>
      </c>
      <c r="P81" t="str">
        <f t="shared" si="9"/>
        <v>Llama2-13B m2</v>
      </c>
    </row>
    <row r="82" spans="1:16" x14ac:dyDescent="0.35">
      <c r="A82" t="s">
        <v>60</v>
      </c>
      <c r="B82" t="s">
        <v>28</v>
      </c>
      <c r="C82">
        <v>0.686693369</v>
      </c>
      <c r="D82">
        <v>0.713420108</v>
      </c>
      <c r="E82">
        <v>2.9010559999999999E-3</v>
      </c>
      <c r="F82" t="s">
        <v>20</v>
      </c>
      <c r="H82" s="1">
        <v>4.32903E-4</v>
      </c>
      <c r="I82" t="s">
        <v>31</v>
      </c>
      <c r="J82" t="s">
        <v>38</v>
      </c>
      <c r="L82" t="str">
        <f t="shared" si="5"/>
        <v>5mLlama-3.1-405B-Instruct c</v>
      </c>
      <c r="M82" t="str">
        <f t="shared" si="6"/>
        <v>Llama2-70B m2</v>
      </c>
      <c r="N82">
        <f t="shared" si="7"/>
        <v>0</v>
      </c>
      <c r="O82">
        <f t="shared" si="8"/>
        <v>0</v>
      </c>
      <c r="P82" t="str">
        <f t="shared" si="9"/>
        <v>Llama2-70B m2</v>
      </c>
    </row>
    <row r="83" spans="1:16" x14ac:dyDescent="0.35">
      <c r="A83" t="s">
        <v>60</v>
      </c>
      <c r="B83" t="s">
        <v>29</v>
      </c>
      <c r="C83">
        <v>0.68090787699999999</v>
      </c>
      <c r="D83">
        <v>0.708258528</v>
      </c>
      <c r="E83" s="1">
        <v>2.4866889999999998E-3</v>
      </c>
      <c r="F83" t="s">
        <v>20</v>
      </c>
      <c r="H83">
        <v>2.3964544000000001E-2</v>
      </c>
      <c r="I83" t="s">
        <v>31</v>
      </c>
      <c r="J83" t="s">
        <v>40</v>
      </c>
      <c r="L83" t="str">
        <f t="shared" si="5"/>
        <v>5mLlama-3.3-70B-Instruct c</v>
      </c>
      <c r="M83" t="str">
        <f t="shared" si="6"/>
        <v>Llama2-7B-chat m2</v>
      </c>
      <c r="N83">
        <f t="shared" si="7"/>
        <v>0</v>
      </c>
      <c r="O83">
        <f t="shared" si="8"/>
        <v>0</v>
      </c>
      <c r="P83" t="str">
        <f t="shared" si="9"/>
        <v>Llama2-7B-chat m2</v>
      </c>
    </row>
    <row r="84" spans="1:16" x14ac:dyDescent="0.35">
      <c r="A84" t="s">
        <v>60</v>
      </c>
      <c r="B84" t="s">
        <v>30</v>
      </c>
      <c r="C84">
        <v>0.69781931500000005</v>
      </c>
      <c r="D84">
        <v>0.72710951499999998</v>
      </c>
      <c r="E84">
        <v>1.1034829999999999E-3</v>
      </c>
      <c r="F84" t="s">
        <v>20</v>
      </c>
      <c r="H84">
        <v>8.6879999999999899E-7</v>
      </c>
      <c r="I84" t="s">
        <v>21</v>
      </c>
      <c r="J84" t="s">
        <v>19</v>
      </c>
      <c r="L84" t="str">
        <f t="shared" si="5"/>
        <v>2mglove add_lem</v>
      </c>
      <c r="M84" t="str">
        <f t="shared" si="6"/>
        <v>Llama2-13B-chat m2</v>
      </c>
      <c r="N84">
        <f t="shared" si="7"/>
        <v>0</v>
      </c>
      <c r="O84">
        <f t="shared" si="8"/>
        <v>0</v>
      </c>
      <c r="P84" t="str">
        <f t="shared" si="9"/>
        <v>Llama2-13B-chat m2</v>
      </c>
    </row>
    <row r="85" spans="1:16" x14ac:dyDescent="0.35">
      <c r="A85" t="s">
        <v>60</v>
      </c>
      <c r="B85" t="s">
        <v>32</v>
      </c>
      <c r="C85">
        <v>0.68357810399999996</v>
      </c>
      <c r="D85">
        <v>0.721499102</v>
      </c>
      <c r="E85">
        <v>4.3600000000000003E-5</v>
      </c>
      <c r="F85" t="s">
        <v>20</v>
      </c>
      <c r="H85">
        <v>5.8680000000000003E-30</v>
      </c>
      <c r="I85" t="s">
        <v>21</v>
      </c>
      <c r="J85" t="s">
        <v>23</v>
      </c>
      <c r="L85" t="str">
        <f t="shared" si="5"/>
        <v>2msbert2_long</v>
      </c>
      <c r="M85" t="str">
        <f t="shared" si="6"/>
        <v>Llama-3-70B-Instruct-Turbo m2</v>
      </c>
      <c r="N85">
        <f t="shared" si="7"/>
        <v>0</v>
      </c>
      <c r="O85">
        <f t="shared" si="8"/>
        <v>0</v>
      </c>
      <c r="P85" t="str">
        <f t="shared" si="9"/>
        <v>Llama-3-70B-Instruct-Turbo m2</v>
      </c>
    </row>
    <row r="86" spans="1:16" x14ac:dyDescent="0.35">
      <c r="A86" t="s">
        <v>60</v>
      </c>
      <c r="B86" t="s">
        <v>33</v>
      </c>
      <c r="C86">
        <v>0.69737427699999999</v>
      </c>
      <c r="D86">
        <v>0.73294434500000005</v>
      </c>
      <c r="E86">
        <v>9.6700000000000006E-5</v>
      </c>
      <c r="F86" t="s">
        <v>20</v>
      </c>
      <c r="H86" s="1">
        <v>4.3199999999999997E-11</v>
      </c>
      <c r="I86" t="s">
        <v>21</v>
      </c>
      <c r="J86" t="s">
        <v>34</v>
      </c>
      <c r="L86" t="str">
        <f t="shared" si="5"/>
        <v>2mLlama-3-70B-Instruct c</v>
      </c>
      <c r="M86" t="str">
        <f t="shared" si="6"/>
        <v>Llama-3.1-70B-Instruct-Turbo m2</v>
      </c>
      <c r="N86">
        <f t="shared" si="7"/>
        <v>0</v>
      </c>
      <c r="O86">
        <f t="shared" si="8"/>
        <v>0</v>
      </c>
      <c r="P86" t="str">
        <f t="shared" si="9"/>
        <v>Llama-3.1-70B-Instruct-Turbo m2</v>
      </c>
    </row>
    <row r="87" spans="1:16" x14ac:dyDescent="0.35">
      <c r="A87" t="s">
        <v>60</v>
      </c>
      <c r="B87" t="s">
        <v>35</v>
      </c>
      <c r="C87">
        <v>0.73052959500000003</v>
      </c>
      <c r="D87">
        <v>0.75628366199999997</v>
      </c>
      <c r="E87" s="1">
        <v>2.6430970000000001E-3</v>
      </c>
      <c r="F87" t="s">
        <v>20</v>
      </c>
      <c r="H87">
        <v>4.3199999999999997E-11</v>
      </c>
      <c r="I87" t="s">
        <v>21</v>
      </c>
      <c r="J87" t="s">
        <v>36</v>
      </c>
      <c r="L87" t="str">
        <f t="shared" si="5"/>
        <v>2mLlama-3.1-70B-Instruct c</v>
      </c>
      <c r="M87" t="str">
        <f t="shared" si="6"/>
        <v>Llama-3.1-405B-Instruct-Turbo m2</v>
      </c>
      <c r="N87">
        <f t="shared" si="7"/>
        <v>0</v>
      </c>
      <c r="O87">
        <f t="shared" si="8"/>
        <v>0</v>
      </c>
      <c r="P87" t="str">
        <f t="shared" si="9"/>
        <v>Llama-3.1-405B-Instruct-Turbo m2</v>
      </c>
    </row>
    <row r="88" spans="1:16" x14ac:dyDescent="0.35">
      <c r="A88" t="s">
        <v>60</v>
      </c>
      <c r="B88" t="s">
        <v>37</v>
      </c>
      <c r="C88">
        <v>0.69559412600000003</v>
      </c>
      <c r="D88">
        <v>0.72621184900000002</v>
      </c>
      <c r="E88" s="1">
        <v>7.0051499999999997E-4</v>
      </c>
      <c r="F88" t="s">
        <v>20</v>
      </c>
      <c r="H88">
        <v>1.20936E-3</v>
      </c>
      <c r="I88" t="s">
        <v>21</v>
      </c>
      <c r="J88" t="s">
        <v>38</v>
      </c>
      <c r="L88" t="str">
        <f t="shared" si="5"/>
        <v>2mLlama-3.1-405B-Instruct c</v>
      </c>
      <c r="M88" t="str">
        <f t="shared" si="6"/>
        <v>Llama-3.3-70B-Instruct-Turbo m2</v>
      </c>
      <c r="N88">
        <f t="shared" si="7"/>
        <v>0</v>
      </c>
      <c r="O88">
        <f t="shared" si="8"/>
        <v>0</v>
      </c>
      <c r="P88" t="str">
        <f t="shared" si="9"/>
        <v>Llama-3.3-70B-Instruct-Turbo m2</v>
      </c>
    </row>
    <row r="89" spans="1:16" x14ac:dyDescent="0.35">
      <c r="A89" t="s">
        <v>60</v>
      </c>
      <c r="B89" t="s">
        <v>39</v>
      </c>
      <c r="C89">
        <v>0.77570093500000004</v>
      </c>
      <c r="D89">
        <v>0.81732495500000002</v>
      </c>
      <c r="E89">
        <v>5.0500000000000004E-7</v>
      </c>
      <c r="F89" t="s">
        <v>20</v>
      </c>
      <c r="G89" t="s">
        <v>61</v>
      </c>
      <c r="H89">
        <v>3.3449999999999998E-10</v>
      </c>
      <c r="I89" t="s">
        <v>21</v>
      </c>
      <c r="J89" t="s">
        <v>40</v>
      </c>
      <c r="L89" t="str">
        <f t="shared" si="5"/>
        <v>2mLlama-3.3-70B-Instruct c</v>
      </c>
      <c r="M89" t="str">
        <f t="shared" si="6"/>
        <v>4qLlama2-70B mixedprompt</v>
      </c>
      <c r="N89">
        <f t="shared" si="7"/>
        <v>1.34666666666666E-6</v>
      </c>
      <c r="O89" t="str">
        <f t="shared" si="8"/>
        <v>4q</v>
      </c>
      <c r="P89" t="str">
        <f t="shared" si="9"/>
        <v>Llama2-70B mixedprompt</v>
      </c>
    </row>
    <row r="90" spans="1:16" x14ac:dyDescent="0.35">
      <c r="A90" t="s">
        <v>60</v>
      </c>
      <c r="B90" t="s">
        <v>41</v>
      </c>
      <c r="C90">
        <v>0.65576323999999997</v>
      </c>
      <c r="D90">
        <v>0.70870736099999998</v>
      </c>
      <c r="E90">
        <v>3.7599999999999999E-8</v>
      </c>
      <c r="F90" t="s">
        <v>20</v>
      </c>
      <c r="G90" t="s">
        <v>61</v>
      </c>
      <c r="H90">
        <v>3.8954274999999901E-3</v>
      </c>
      <c r="I90">
        <v>1</v>
      </c>
      <c r="J90" t="s">
        <v>11</v>
      </c>
      <c r="L90" t="str">
        <f t="shared" si="5"/>
        <v>1Llama3.1-70B-Instruct Q</v>
      </c>
      <c r="M90" t="str">
        <f t="shared" si="6"/>
        <v>4qLlama2-13B-chat mixedprompt</v>
      </c>
      <c r="N90">
        <f t="shared" si="7"/>
        <v>1.504E-7</v>
      </c>
      <c r="O90" t="str">
        <f t="shared" si="8"/>
        <v>4q</v>
      </c>
      <c r="P90" t="str">
        <f t="shared" si="9"/>
        <v>Llama2-13B-chat mixedprompt</v>
      </c>
    </row>
    <row r="91" spans="1:16" x14ac:dyDescent="0.35">
      <c r="A91" t="s">
        <v>60</v>
      </c>
      <c r="B91" t="s">
        <v>43</v>
      </c>
      <c r="C91">
        <v>0.88429016500000002</v>
      </c>
      <c r="D91">
        <v>0.90552064600000004</v>
      </c>
      <c r="E91">
        <v>5.3021299999999997E-4</v>
      </c>
      <c r="F91" t="s">
        <v>20</v>
      </c>
      <c r="G91" t="s">
        <v>61</v>
      </c>
      <c r="H91">
        <v>0.21775675624999999</v>
      </c>
      <c r="I91">
        <v>1</v>
      </c>
      <c r="J91" t="s">
        <v>14</v>
      </c>
      <c r="L91" t="str">
        <f t="shared" si="5"/>
        <v>1Llama3.1-405B-Instruct Q</v>
      </c>
      <c r="M91" t="str">
        <f t="shared" si="6"/>
        <v>4qLlama-3.1-70B-Instruct-Turbo mixedprompt</v>
      </c>
      <c r="N91">
        <f t="shared" si="7"/>
        <v>7.0695066666666602E-4</v>
      </c>
      <c r="O91" t="str">
        <f t="shared" si="8"/>
        <v>4q</v>
      </c>
      <c r="P91" t="str">
        <f t="shared" si="9"/>
        <v>Llama-3.1-70B-Instruct-Turbo mixedprompt</v>
      </c>
    </row>
    <row r="92" spans="1:16" x14ac:dyDescent="0.35">
      <c r="A92" t="s">
        <v>60</v>
      </c>
      <c r="B92" t="s">
        <v>44</v>
      </c>
      <c r="C92">
        <v>0.90809968799999996</v>
      </c>
      <c r="D92">
        <v>0.92414721700000002</v>
      </c>
      <c r="E92" s="1">
        <v>3.0921880000000001E-3</v>
      </c>
      <c r="F92" t="s">
        <v>20</v>
      </c>
      <c r="G92" t="s">
        <v>61</v>
      </c>
      <c r="H92">
        <v>1.8793020000000001E-2</v>
      </c>
      <c r="I92">
        <v>1</v>
      </c>
      <c r="J92" t="s">
        <v>15</v>
      </c>
      <c r="L92" t="str">
        <f t="shared" si="5"/>
        <v>1Llama3.3-70B-Instruct Q</v>
      </c>
      <c r="M92" t="str">
        <f t="shared" si="6"/>
        <v>4qLlama-3.1-405B-Instruct-Turbo mixedprompt</v>
      </c>
      <c r="N92">
        <f t="shared" si="7"/>
        <v>3.5339291428571401E-3</v>
      </c>
      <c r="O92" t="str">
        <f t="shared" si="8"/>
        <v>4q</v>
      </c>
      <c r="P92" t="str">
        <f t="shared" si="9"/>
        <v>Llama-3.1-405B-Instruct-Turbo mixedprompt</v>
      </c>
    </row>
    <row r="93" spans="1:16" x14ac:dyDescent="0.35">
      <c r="A93" t="s">
        <v>60</v>
      </c>
      <c r="B93" t="s">
        <v>45</v>
      </c>
      <c r="C93">
        <v>0.88874054300000005</v>
      </c>
      <c r="D93">
        <v>0.91090664300000002</v>
      </c>
      <c r="E93">
        <v>2.4013800000000001E-4</v>
      </c>
      <c r="F93" t="s">
        <v>20</v>
      </c>
      <c r="G93" t="s">
        <v>61</v>
      </c>
      <c r="H93">
        <v>1.11E-8</v>
      </c>
      <c r="I93">
        <v>1</v>
      </c>
      <c r="J93" t="s">
        <v>16</v>
      </c>
      <c r="L93" t="str">
        <f t="shared" si="5"/>
        <v>1gpt-4o-mini Q</v>
      </c>
      <c r="M93" t="str">
        <f t="shared" si="6"/>
        <v>4qLlama-3.3-70B-Instruct-Turbo mixedprompt</v>
      </c>
      <c r="N93">
        <f t="shared" si="7"/>
        <v>3.8422080000000001E-4</v>
      </c>
      <c r="O93" t="str">
        <f t="shared" si="8"/>
        <v>4q</v>
      </c>
      <c r="P93" t="str">
        <f t="shared" si="9"/>
        <v>Llama-3.3-70B-Instruct-Turbo mixedprompt</v>
      </c>
    </row>
    <row r="94" spans="1:16" x14ac:dyDescent="0.35">
      <c r="A94" t="s">
        <v>60</v>
      </c>
      <c r="B94" t="s">
        <v>46</v>
      </c>
      <c r="C94">
        <v>0.85157988399999995</v>
      </c>
      <c r="D94">
        <v>0.89160682199999997</v>
      </c>
      <c r="E94" s="1">
        <v>7.6600000000000004E-9</v>
      </c>
      <c r="F94" t="s">
        <v>20</v>
      </c>
      <c r="G94" t="s">
        <v>61</v>
      </c>
      <c r="H94">
        <v>0.76879180999999996</v>
      </c>
      <c r="I94">
        <v>1</v>
      </c>
      <c r="J94" t="s">
        <v>17</v>
      </c>
      <c r="L94" t="str">
        <f t="shared" si="5"/>
        <v>1gpt-4o Q</v>
      </c>
      <c r="M94" t="str">
        <f t="shared" si="6"/>
        <v>4qGPT-4o-mini mixedprompt</v>
      </c>
      <c r="N94">
        <f t="shared" si="7"/>
        <v>6.1280000000000003E-8</v>
      </c>
      <c r="O94" t="str">
        <f t="shared" si="8"/>
        <v>4q</v>
      </c>
      <c r="P94" t="str">
        <f t="shared" si="9"/>
        <v>GPT-4o-mini mixedprompt</v>
      </c>
    </row>
    <row r="95" spans="1:16" x14ac:dyDescent="0.35">
      <c r="A95" t="s">
        <v>60</v>
      </c>
      <c r="B95" t="s">
        <v>47</v>
      </c>
      <c r="C95">
        <v>0.93213173100000002</v>
      </c>
      <c r="D95">
        <v>0.942773788</v>
      </c>
      <c r="E95" s="1">
        <v>1.8831401000000001E-2</v>
      </c>
      <c r="F95" t="s">
        <v>20</v>
      </c>
      <c r="G95" t="s">
        <v>61</v>
      </c>
      <c r="H95">
        <v>1.34666666666666E-6</v>
      </c>
      <c r="I95" t="s">
        <v>61</v>
      </c>
      <c r="J95" t="s">
        <v>39</v>
      </c>
      <c r="L95" t="str">
        <f t="shared" si="5"/>
        <v>4qLlama2-70B mixedprompt</v>
      </c>
      <c r="M95" t="str">
        <f t="shared" si="6"/>
        <v>4qGPT-4o mixedprompt</v>
      </c>
      <c r="N95">
        <f t="shared" si="7"/>
        <v>1.8831401000000001E-2</v>
      </c>
      <c r="O95" t="str">
        <f t="shared" si="8"/>
        <v>4q</v>
      </c>
      <c r="P95" t="str">
        <f t="shared" si="9"/>
        <v>GPT-4o mixedprompt</v>
      </c>
    </row>
    <row r="96" spans="1:16" x14ac:dyDescent="0.35">
      <c r="A96" t="s">
        <v>60</v>
      </c>
      <c r="B96" t="s">
        <v>48</v>
      </c>
      <c r="C96">
        <v>0.91121495299999999</v>
      </c>
      <c r="D96">
        <v>0.93491921</v>
      </c>
      <c r="E96" s="1">
        <v>1.2999999999999999E-5</v>
      </c>
      <c r="F96" t="s">
        <v>20</v>
      </c>
      <c r="G96" t="s">
        <v>61</v>
      </c>
      <c r="H96">
        <v>1.504E-7</v>
      </c>
      <c r="I96" t="s">
        <v>61</v>
      </c>
      <c r="J96" t="s">
        <v>41</v>
      </c>
      <c r="L96" t="str">
        <f t="shared" si="5"/>
        <v>4qLlama2-13B-chat mixedprompt</v>
      </c>
      <c r="M96" t="str">
        <f t="shared" si="6"/>
        <v>4qo1-mini mixedprompt</v>
      </c>
      <c r="N96">
        <f t="shared" si="7"/>
        <v>2.5999999999999998E-5</v>
      </c>
      <c r="O96" t="str">
        <f t="shared" si="8"/>
        <v>4q</v>
      </c>
      <c r="P96" t="str">
        <f t="shared" si="9"/>
        <v>o1-mini mixedprompt</v>
      </c>
    </row>
    <row r="97" spans="1:16" x14ac:dyDescent="0.35">
      <c r="A97" t="s">
        <v>60</v>
      </c>
      <c r="B97" t="s">
        <v>34</v>
      </c>
      <c r="C97">
        <v>0.68335558500000004</v>
      </c>
      <c r="D97">
        <v>0.72598743300000002</v>
      </c>
      <c r="E97" s="1">
        <v>9.6099999999999996E-15</v>
      </c>
      <c r="F97" t="s">
        <v>20</v>
      </c>
      <c r="G97" t="s">
        <v>58</v>
      </c>
      <c r="H97" s="1">
        <v>7.0695066666666602E-4</v>
      </c>
      <c r="I97" t="s">
        <v>61</v>
      </c>
      <c r="J97" t="s">
        <v>43</v>
      </c>
      <c r="L97" t="str">
        <f t="shared" si="5"/>
        <v>4qLlama-3.1-70B-Instruct-Turbo mixedprompt</v>
      </c>
      <c r="M97" t="str">
        <f t="shared" si="6"/>
        <v>4mLlama-3-70B-Instruct c</v>
      </c>
      <c r="N97">
        <f t="shared" si="7"/>
        <v>5.7660000000000004E-14</v>
      </c>
      <c r="O97" t="str">
        <f t="shared" si="8"/>
        <v>4m</v>
      </c>
      <c r="P97" t="str">
        <f t="shared" si="9"/>
        <v>Llama-3-70B-Instruct c</v>
      </c>
    </row>
    <row r="98" spans="1:16" x14ac:dyDescent="0.35">
      <c r="A98" t="s">
        <v>60</v>
      </c>
      <c r="B98" t="s">
        <v>49</v>
      </c>
      <c r="C98">
        <v>0.63718291100000002</v>
      </c>
      <c r="D98">
        <v>0.66864901300000001</v>
      </c>
      <c r="E98">
        <v>4.8999999999999997E-6</v>
      </c>
      <c r="F98" t="s">
        <v>20</v>
      </c>
      <c r="H98" s="1">
        <v>3.5339291428571401E-3</v>
      </c>
      <c r="I98" t="s">
        <v>61</v>
      </c>
      <c r="J98" t="s">
        <v>44</v>
      </c>
      <c r="L98" t="str">
        <f t="shared" si="5"/>
        <v>4qLlama-3.1-405B-Instruct-Turbo mixedprompt</v>
      </c>
      <c r="M98" t="str">
        <f t="shared" si="6"/>
        <v>Llama-3-70B-Instruct cf</v>
      </c>
      <c r="N98">
        <f t="shared" si="7"/>
        <v>0</v>
      </c>
      <c r="O98">
        <f t="shared" si="8"/>
        <v>0</v>
      </c>
      <c r="P98" t="str">
        <f t="shared" si="9"/>
        <v>Llama-3-70B-Instruct cf</v>
      </c>
    </row>
    <row r="99" spans="1:16" x14ac:dyDescent="0.35">
      <c r="A99" t="s">
        <v>60</v>
      </c>
      <c r="B99" t="s">
        <v>36</v>
      </c>
      <c r="C99">
        <v>0.69062453599999996</v>
      </c>
      <c r="D99">
        <v>0.72194793499999999</v>
      </c>
      <c r="E99" s="1">
        <v>8.7999999999999994E-9</v>
      </c>
      <c r="F99" t="s">
        <v>20</v>
      </c>
      <c r="G99" t="s">
        <v>58</v>
      </c>
      <c r="H99" s="1">
        <v>3.8422080000000001E-4</v>
      </c>
      <c r="I99" t="s">
        <v>61</v>
      </c>
      <c r="J99" t="s">
        <v>45</v>
      </c>
      <c r="L99" t="str">
        <f t="shared" si="5"/>
        <v>4qLlama-3.3-70B-Instruct-Turbo mixedprompt</v>
      </c>
      <c r="M99" t="str">
        <f t="shared" si="6"/>
        <v>4mLlama-3.1-70B-Instruct c</v>
      </c>
      <c r="N99">
        <f t="shared" si="7"/>
        <v>1.31999999999999E-8</v>
      </c>
      <c r="O99" t="str">
        <f t="shared" si="8"/>
        <v>4m</v>
      </c>
      <c r="P99" t="str">
        <f t="shared" si="9"/>
        <v>Llama-3.1-70B-Instruct c</v>
      </c>
    </row>
    <row r="100" spans="1:16" x14ac:dyDescent="0.35">
      <c r="A100" t="s">
        <v>60</v>
      </c>
      <c r="B100" t="s">
        <v>51</v>
      </c>
      <c r="C100">
        <v>0.64129950999999996</v>
      </c>
      <c r="D100">
        <v>0.66191651699999998</v>
      </c>
      <c r="E100" s="1">
        <v>1.898626E-3</v>
      </c>
      <c r="F100" t="s">
        <v>20</v>
      </c>
      <c r="H100" s="1">
        <v>6.1280000000000003E-8</v>
      </c>
      <c r="I100" t="s">
        <v>61</v>
      </c>
      <c r="J100" t="s">
        <v>46</v>
      </c>
      <c r="L100" t="str">
        <f t="shared" si="5"/>
        <v>4qGPT-4o-mini mixedprompt</v>
      </c>
      <c r="M100" t="str">
        <f t="shared" si="6"/>
        <v>Llama-3.1-70B-Instruct cf</v>
      </c>
      <c r="N100">
        <f t="shared" si="7"/>
        <v>0</v>
      </c>
      <c r="O100">
        <f t="shared" si="8"/>
        <v>0</v>
      </c>
      <c r="P100" t="str">
        <f t="shared" si="9"/>
        <v>Llama-3.1-70B-Instruct cf</v>
      </c>
    </row>
    <row r="101" spans="1:16" x14ac:dyDescent="0.35">
      <c r="A101" t="s">
        <v>60</v>
      </c>
      <c r="B101" t="s">
        <v>38</v>
      </c>
      <c r="C101">
        <v>0.724795843</v>
      </c>
      <c r="D101">
        <v>0.75770496700000001</v>
      </c>
      <c r="E101" s="1">
        <v>3.7599999999999999E-10</v>
      </c>
      <c r="F101" t="s">
        <v>20</v>
      </c>
      <c r="G101" t="s">
        <v>58</v>
      </c>
      <c r="H101">
        <v>1.8831401000000001E-2</v>
      </c>
      <c r="I101" t="s">
        <v>61</v>
      </c>
      <c r="J101" t="s">
        <v>47</v>
      </c>
      <c r="L101" t="str">
        <f t="shared" si="5"/>
        <v>4qGPT-4o mixedprompt</v>
      </c>
      <c r="M101" t="str">
        <f t="shared" si="6"/>
        <v>4mLlama-3.1-405B-Instruct c</v>
      </c>
      <c r="N101">
        <f t="shared" si="7"/>
        <v>7.5199999999999999E-10</v>
      </c>
      <c r="O101" t="str">
        <f t="shared" si="8"/>
        <v>4m</v>
      </c>
      <c r="P101" t="str">
        <f t="shared" si="9"/>
        <v>Llama-3.1-405B-Instruct c</v>
      </c>
    </row>
    <row r="102" spans="1:16" x14ac:dyDescent="0.35">
      <c r="A102" t="s">
        <v>60</v>
      </c>
      <c r="B102" t="s">
        <v>52</v>
      </c>
      <c r="C102">
        <v>0.655015028</v>
      </c>
      <c r="D102">
        <v>0.68323608599999996</v>
      </c>
      <c r="E102">
        <v>3.0199999999999999E-5</v>
      </c>
      <c r="F102" t="s">
        <v>20</v>
      </c>
      <c r="H102">
        <v>2.5999999999999998E-5</v>
      </c>
      <c r="I102" t="s">
        <v>61</v>
      </c>
      <c r="J102" t="s">
        <v>48</v>
      </c>
      <c r="L102" t="str">
        <f t="shared" si="5"/>
        <v>4qo1-mini mixedprompt</v>
      </c>
      <c r="M102" t="str">
        <f t="shared" si="6"/>
        <v>Llama-3.1-405B-Instruct cf</v>
      </c>
      <c r="N102">
        <f t="shared" si="7"/>
        <v>0</v>
      </c>
      <c r="O102">
        <f t="shared" si="8"/>
        <v>0</v>
      </c>
      <c r="P102" t="str">
        <f t="shared" si="9"/>
        <v>Llama-3.1-405B-Instruct cf</v>
      </c>
    </row>
    <row r="103" spans="1:16" x14ac:dyDescent="0.35">
      <c r="A103" t="s">
        <v>60</v>
      </c>
      <c r="B103" t="s">
        <v>40</v>
      </c>
      <c r="C103">
        <v>0.68788013599999998</v>
      </c>
      <c r="D103">
        <v>0.72441651699999998</v>
      </c>
      <c r="E103">
        <v>2.5000000000000001E-11</v>
      </c>
      <c r="F103" t="s">
        <v>20</v>
      </c>
      <c r="G103" t="s">
        <v>58</v>
      </c>
      <c r="H103">
        <v>0.31321386299999998</v>
      </c>
      <c r="I103" t="s">
        <v>24</v>
      </c>
      <c r="J103" t="s">
        <v>11</v>
      </c>
      <c r="L103" t="str">
        <f t="shared" si="5"/>
        <v>4tLlama3.1-70B-Instruct Q</v>
      </c>
      <c r="M103" t="str">
        <f t="shared" si="6"/>
        <v>4mLlama-3.3-70B-Instruct c</v>
      </c>
      <c r="N103">
        <f t="shared" si="7"/>
        <v>7.5E-11</v>
      </c>
      <c r="O103" t="str">
        <f t="shared" si="8"/>
        <v>4m</v>
      </c>
      <c r="P103" t="str">
        <f t="shared" si="9"/>
        <v>Llama-3.3-70B-Instruct c</v>
      </c>
    </row>
    <row r="104" spans="1:16" x14ac:dyDescent="0.35">
      <c r="A104" t="s">
        <v>60</v>
      </c>
      <c r="B104" t="s">
        <v>53</v>
      </c>
      <c r="C104">
        <v>0.63462394300000002</v>
      </c>
      <c r="D104">
        <v>0.65709156199999996</v>
      </c>
      <c r="E104">
        <v>8.3747900000000002E-4</v>
      </c>
      <c r="F104" t="s">
        <v>20</v>
      </c>
      <c r="H104">
        <v>0.31321386299999998</v>
      </c>
      <c r="I104" t="s">
        <v>24</v>
      </c>
      <c r="J104" t="s">
        <v>14</v>
      </c>
      <c r="L104" t="str">
        <f t="shared" si="5"/>
        <v>4tLlama3.1-405B-Instruct Q</v>
      </c>
      <c r="M104" t="str">
        <f t="shared" si="6"/>
        <v>Llama-3.3-70B-Instruct cf</v>
      </c>
      <c r="N104">
        <f t="shared" si="7"/>
        <v>0</v>
      </c>
      <c r="O104">
        <f t="shared" si="8"/>
        <v>0</v>
      </c>
      <c r="P104" t="str">
        <f t="shared" si="9"/>
        <v>Llama-3.3-70B-Instruct cf</v>
      </c>
    </row>
    <row r="105" spans="1:16" x14ac:dyDescent="0.35">
      <c r="A105" t="s">
        <v>60</v>
      </c>
      <c r="B105" t="s">
        <v>11</v>
      </c>
      <c r="C105">
        <v>0.922155689</v>
      </c>
      <c r="D105">
        <v>0.90705128199999996</v>
      </c>
      <c r="E105">
        <v>0.18485052099999999</v>
      </c>
      <c r="F105" t="s">
        <v>20</v>
      </c>
      <c r="G105" t="s">
        <v>24</v>
      </c>
      <c r="H105">
        <v>0.42982601879999999</v>
      </c>
      <c r="I105" t="s">
        <v>24</v>
      </c>
      <c r="J105" t="s">
        <v>15</v>
      </c>
      <c r="L105" t="str">
        <f t="shared" si="5"/>
        <v>4tLlama3.3-70B-Instruct Q</v>
      </c>
      <c r="M105" t="str">
        <f t="shared" si="6"/>
        <v>4tLlama3.1-70B-Instruct Q</v>
      </c>
      <c r="N105">
        <f t="shared" si="7"/>
        <v>0.31321386299999998</v>
      </c>
      <c r="O105" t="str">
        <f t="shared" si="8"/>
        <v>4t</v>
      </c>
      <c r="P105" t="str">
        <f t="shared" si="9"/>
        <v>Llama3.1-70B-Instruct Q</v>
      </c>
    </row>
    <row r="106" spans="1:16" x14ac:dyDescent="0.35">
      <c r="A106" t="s">
        <v>60</v>
      </c>
      <c r="B106" t="s">
        <v>14</v>
      </c>
      <c r="C106">
        <v>0.94011975999999997</v>
      </c>
      <c r="D106">
        <v>0.92628205100000005</v>
      </c>
      <c r="E106">
        <v>0.17902478199999999</v>
      </c>
      <c r="F106" t="s">
        <v>20</v>
      </c>
      <c r="G106" t="s">
        <v>24</v>
      </c>
      <c r="H106">
        <v>0.45028368600000002</v>
      </c>
      <c r="I106" t="s">
        <v>24</v>
      </c>
      <c r="J106" t="s">
        <v>16</v>
      </c>
      <c r="L106" t="str">
        <f t="shared" si="5"/>
        <v>4tgpt-4o-mini Q</v>
      </c>
      <c r="M106" t="str">
        <f t="shared" si="6"/>
        <v>4tLlama3.1-405B-Instruct Q</v>
      </c>
      <c r="N106">
        <f t="shared" si="7"/>
        <v>0.31321386299999998</v>
      </c>
      <c r="O106" t="str">
        <f t="shared" si="8"/>
        <v>4t</v>
      </c>
      <c r="P106" t="str">
        <f t="shared" si="9"/>
        <v>Llama3.1-405B-Instruct Q</v>
      </c>
    </row>
    <row r="107" spans="1:16" x14ac:dyDescent="0.35">
      <c r="A107" t="s">
        <v>60</v>
      </c>
      <c r="B107" t="s">
        <v>15</v>
      </c>
      <c r="C107">
        <v>0.92415169699999999</v>
      </c>
      <c r="D107">
        <v>0.91826923100000002</v>
      </c>
      <c r="E107">
        <v>0.35818834900000002</v>
      </c>
      <c r="F107" t="s">
        <v>20</v>
      </c>
      <c r="G107" t="s">
        <v>24</v>
      </c>
      <c r="H107">
        <v>0.31321386299999998</v>
      </c>
      <c r="I107" t="s">
        <v>24</v>
      </c>
      <c r="J107" t="s">
        <v>17</v>
      </c>
      <c r="L107" t="str">
        <f t="shared" si="5"/>
        <v>4tgpt-4o Q</v>
      </c>
      <c r="M107" t="str">
        <f t="shared" si="6"/>
        <v>4tLlama3.3-70B-Instruct Q</v>
      </c>
      <c r="N107">
        <f t="shared" si="7"/>
        <v>0.42982601879999999</v>
      </c>
      <c r="O107" t="str">
        <f t="shared" si="8"/>
        <v>4t</v>
      </c>
      <c r="P107" t="str">
        <f t="shared" si="9"/>
        <v>Llama3.3-70B-Instruct Q</v>
      </c>
    </row>
    <row r="108" spans="1:16" x14ac:dyDescent="0.35">
      <c r="A108" t="s">
        <v>60</v>
      </c>
      <c r="B108" t="s">
        <v>16</v>
      </c>
      <c r="C108">
        <v>0.88223552900000002</v>
      </c>
      <c r="D108">
        <v>0.87980769199999997</v>
      </c>
      <c r="E108">
        <v>0.45028368600000002</v>
      </c>
      <c r="F108" t="s">
        <v>20</v>
      </c>
      <c r="G108" t="s">
        <v>24</v>
      </c>
      <c r="H108">
        <v>0.31321386299999998</v>
      </c>
      <c r="I108" t="s">
        <v>24</v>
      </c>
      <c r="J108" t="s">
        <v>22</v>
      </c>
      <c r="L108" t="str">
        <f t="shared" si="5"/>
        <v>4thuman</v>
      </c>
      <c r="M108" t="str">
        <f t="shared" si="6"/>
        <v>4tgpt-4o-mini Q</v>
      </c>
      <c r="N108">
        <f t="shared" si="7"/>
        <v>0.45028368600000002</v>
      </c>
      <c r="O108" t="str">
        <f t="shared" si="8"/>
        <v>4t</v>
      </c>
      <c r="P108" t="str">
        <f t="shared" si="9"/>
        <v>gpt-4o-mini Q</v>
      </c>
    </row>
    <row r="109" spans="1:16" x14ac:dyDescent="0.35">
      <c r="A109" t="s">
        <v>60</v>
      </c>
      <c r="B109" t="s">
        <v>17</v>
      </c>
      <c r="C109">
        <v>0.95608782400000003</v>
      </c>
      <c r="D109">
        <v>0.945512821</v>
      </c>
      <c r="E109">
        <v>0.20880924200000001</v>
      </c>
      <c r="F109" t="s">
        <v>20</v>
      </c>
      <c r="G109" t="s">
        <v>24</v>
      </c>
      <c r="J109" t="s">
        <v>25</v>
      </c>
      <c r="L109" t="str">
        <f t="shared" si="5"/>
        <v>GPT-Neo-1.3B m2</v>
      </c>
      <c r="M109" t="str">
        <f t="shared" si="6"/>
        <v>4tgpt-4o Q</v>
      </c>
      <c r="N109">
        <f t="shared" si="7"/>
        <v>0.31321386299999998</v>
      </c>
      <c r="O109" t="str">
        <f t="shared" si="8"/>
        <v>4t</v>
      </c>
      <c r="P109" t="str">
        <f t="shared" si="9"/>
        <v>gpt-4o Q</v>
      </c>
    </row>
    <row r="110" spans="1:16" x14ac:dyDescent="0.35">
      <c r="A110" t="s">
        <v>60</v>
      </c>
      <c r="B110" t="s">
        <v>85</v>
      </c>
      <c r="C110">
        <v>0.9249501</v>
      </c>
      <c r="D110">
        <v>0.91538461500000001</v>
      </c>
      <c r="E110">
        <v>9.4823727999999996E-2</v>
      </c>
      <c r="F110" t="s">
        <v>20</v>
      </c>
      <c r="J110" t="s">
        <v>26</v>
      </c>
      <c r="L110" t="str">
        <f t="shared" si="5"/>
        <v>Llama2-7B m2</v>
      </c>
      <c r="M110" t="str">
        <f t="shared" si="6"/>
        <v>q_test_total</v>
      </c>
      <c r="N110">
        <f t="shared" si="7"/>
        <v>0</v>
      </c>
      <c r="O110">
        <f t="shared" si="8"/>
        <v>0</v>
      </c>
      <c r="P110" t="str">
        <f t="shared" si="9"/>
        <v>q_test_total</v>
      </c>
    </row>
    <row r="111" spans="1:16" x14ac:dyDescent="0.35">
      <c r="A111" t="s">
        <v>60</v>
      </c>
      <c r="B111" t="s">
        <v>22</v>
      </c>
      <c r="C111">
        <v>0.95209580800000004</v>
      </c>
      <c r="D111">
        <v>0.94060995199999997</v>
      </c>
      <c r="E111">
        <v>0.19909823600000001</v>
      </c>
      <c r="F111" t="s">
        <v>20</v>
      </c>
      <c r="G111" t="s">
        <v>24</v>
      </c>
      <c r="J111" t="s">
        <v>27</v>
      </c>
      <c r="L111" t="str">
        <f t="shared" si="5"/>
        <v>Llama2-13B m2</v>
      </c>
      <c r="M111" t="str">
        <f t="shared" si="6"/>
        <v>4thuman</v>
      </c>
      <c r="N111">
        <f t="shared" si="7"/>
        <v>0.31321386299999998</v>
      </c>
      <c r="O111" t="str">
        <f t="shared" si="8"/>
        <v>4t</v>
      </c>
      <c r="P111" t="str">
        <f t="shared" si="9"/>
        <v>human</v>
      </c>
    </row>
    <row r="112" spans="1:16" x14ac:dyDescent="0.35">
      <c r="A112" t="s">
        <v>67</v>
      </c>
      <c r="B112" t="s">
        <v>19</v>
      </c>
      <c r="C112">
        <v>0.58600583100000003</v>
      </c>
      <c r="D112">
        <v>0.56540697699999998</v>
      </c>
      <c r="E112">
        <v>0.219924075</v>
      </c>
      <c r="F112" t="s">
        <v>20</v>
      </c>
      <c r="G112" t="s">
        <v>31</v>
      </c>
      <c r="J112" t="s">
        <v>28</v>
      </c>
      <c r="L112" t="str">
        <f t="shared" si="5"/>
        <v>Llama2-70B m2</v>
      </c>
      <c r="M112" t="str">
        <f t="shared" si="6"/>
        <v>5mglove add_lem</v>
      </c>
      <c r="N112">
        <f t="shared" si="7"/>
        <v>0.26390889000000001</v>
      </c>
      <c r="O112" t="str">
        <f t="shared" si="8"/>
        <v>5m</v>
      </c>
      <c r="P112" t="str">
        <f t="shared" si="9"/>
        <v>glove add_lem</v>
      </c>
    </row>
    <row r="113" spans="1:16" x14ac:dyDescent="0.35">
      <c r="A113" t="s">
        <v>67</v>
      </c>
      <c r="B113" t="s">
        <v>23</v>
      </c>
      <c r="C113">
        <v>0.63776070299999998</v>
      </c>
      <c r="D113">
        <v>0.63117453300000004</v>
      </c>
      <c r="E113">
        <v>0.38518788599999998</v>
      </c>
      <c r="F113" t="s">
        <v>20</v>
      </c>
      <c r="G113" t="s">
        <v>31</v>
      </c>
      <c r="J113" t="s">
        <v>29</v>
      </c>
      <c r="L113" t="str">
        <f t="shared" si="5"/>
        <v>Llama2-7B-chat m2</v>
      </c>
      <c r="M113" t="str">
        <f t="shared" si="6"/>
        <v>5msbert2_long</v>
      </c>
      <c r="N113">
        <f t="shared" si="7"/>
        <v>0.38518788599999998</v>
      </c>
      <c r="O113" t="str">
        <f t="shared" si="8"/>
        <v>5m</v>
      </c>
      <c r="P113" t="str">
        <f t="shared" si="9"/>
        <v>sbert2_long</v>
      </c>
    </row>
    <row r="114" spans="1:16" x14ac:dyDescent="0.35">
      <c r="A114" t="s">
        <v>67</v>
      </c>
      <c r="B114" t="s">
        <v>25</v>
      </c>
      <c r="C114">
        <v>0.57848518100000001</v>
      </c>
      <c r="D114">
        <v>0.59385290899999998</v>
      </c>
      <c r="E114">
        <v>0.25272677399999999</v>
      </c>
      <c r="F114" t="s">
        <v>20</v>
      </c>
      <c r="J114" t="s">
        <v>30</v>
      </c>
      <c r="L114" t="str">
        <f t="shared" si="5"/>
        <v>Llama2-13B-chat m2</v>
      </c>
      <c r="M114" t="str">
        <f t="shared" si="6"/>
        <v>GPT-Neo-1.3B m2</v>
      </c>
      <c r="N114">
        <f t="shared" si="7"/>
        <v>0</v>
      </c>
      <c r="O114">
        <f t="shared" si="8"/>
        <v>0</v>
      </c>
      <c r="P114" t="str">
        <f t="shared" si="9"/>
        <v>GPT-Neo-1.3B m2</v>
      </c>
    </row>
    <row r="115" spans="1:16" x14ac:dyDescent="0.35">
      <c r="A115" t="s">
        <v>67</v>
      </c>
      <c r="B115" t="s">
        <v>26</v>
      </c>
      <c r="C115">
        <v>0.64324917699999995</v>
      </c>
      <c r="D115">
        <v>0.67727771699999995</v>
      </c>
      <c r="E115">
        <v>6.2587671999999997E-2</v>
      </c>
      <c r="F115" t="s">
        <v>20</v>
      </c>
      <c r="J115" t="s">
        <v>32</v>
      </c>
      <c r="L115" t="str">
        <f t="shared" si="5"/>
        <v>Llama-3-70B-Instruct-Turbo m2</v>
      </c>
      <c r="M115" t="str">
        <f t="shared" si="6"/>
        <v>Llama2-7B m2</v>
      </c>
      <c r="N115">
        <f t="shared" si="7"/>
        <v>0</v>
      </c>
      <c r="O115">
        <f t="shared" si="8"/>
        <v>0</v>
      </c>
      <c r="P115" t="str">
        <f t="shared" si="9"/>
        <v>Llama2-7B m2</v>
      </c>
    </row>
    <row r="116" spans="1:16" x14ac:dyDescent="0.35">
      <c r="A116" t="s">
        <v>67</v>
      </c>
      <c r="B116" t="s">
        <v>27</v>
      </c>
      <c r="C116">
        <v>0.66190998899999998</v>
      </c>
      <c r="D116">
        <v>0.70691547700000001</v>
      </c>
      <c r="E116">
        <v>1.9378197E-2</v>
      </c>
      <c r="F116" t="s">
        <v>20</v>
      </c>
      <c r="J116" t="s">
        <v>33</v>
      </c>
      <c r="L116" t="str">
        <f t="shared" si="5"/>
        <v>Llama-3.1-70B-Instruct-Turbo m2</v>
      </c>
      <c r="M116" t="str">
        <f t="shared" si="6"/>
        <v>Llama2-13B m2</v>
      </c>
      <c r="N116">
        <f t="shared" si="7"/>
        <v>0</v>
      </c>
      <c r="O116">
        <f t="shared" si="8"/>
        <v>0</v>
      </c>
      <c r="P116" t="str">
        <f t="shared" si="9"/>
        <v>Llama2-13B m2</v>
      </c>
    </row>
    <row r="117" spans="1:16" x14ac:dyDescent="0.35">
      <c r="A117" t="s">
        <v>67</v>
      </c>
      <c r="B117" t="s">
        <v>28</v>
      </c>
      <c r="C117">
        <v>0.69813391899999999</v>
      </c>
      <c r="D117">
        <v>0.72886937399999996</v>
      </c>
      <c r="E117">
        <v>7.3409525000000003E-2</v>
      </c>
      <c r="F117" t="s">
        <v>20</v>
      </c>
      <c r="J117" t="s">
        <v>35</v>
      </c>
      <c r="L117" t="str">
        <f t="shared" si="5"/>
        <v>Llama-3.1-405B-Instruct-Turbo m2</v>
      </c>
      <c r="M117" t="str">
        <f t="shared" si="6"/>
        <v>Llama2-70B m2</v>
      </c>
      <c r="N117">
        <f t="shared" si="7"/>
        <v>0</v>
      </c>
      <c r="O117">
        <f t="shared" si="8"/>
        <v>0</v>
      </c>
      <c r="P117" t="str">
        <f t="shared" si="9"/>
        <v>Llama2-70B m2</v>
      </c>
    </row>
    <row r="118" spans="1:16" x14ac:dyDescent="0.35">
      <c r="A118" t="s">
        <v>67</v>
      </c>
      <c r="B118" t="s">
        <v>29</v>
      </c>
      <c r="C118">
        <v>0.67947310599999999</v>
      </c>
      <c r="D118">
        <v>0.71350164699999996</v>
      </c>
      <c r="E118">
        <v>5.7101175999999997E-2</v>
      </c>
      <c r="F118" t="s">
        <v>20</v>
      </c>
      <c r="J118" t="s">
        <v>37</v>
      </c>
      <c r="L118" t="str">
        <f t="shared" si="5"/>
        <v>Llama-3.3-70B-Instruct-Turbo m2</v>
      </c>
      <c r="M118" t="str">
        <f t="shared" si="6"/>
        <v>Llama2-7B-chat m2</v>
      </c>
      <c r="N118">
        <f t="shared" si="7"/>
        <v>0</v>
      </c>
      <c r="O118">
        <f t="shared" si="8"/>
        <v>0</v>
      </c>
      <c r="P118" t="str">
        <f t="shared" si="9"/>
        <v>Llama2-7B-chat m2</v>
      </c>
    </row>
    <row r="119" spans="1:16" x14ac:dyDescent="0.35">
      <c r="A119" t="s">
        <v>67</v>
      </c>
      <c r="B119" t="s">
        <v>30</v>
      </c>
      <c r="C119">
        <v>0.70362239299999996</v>
      </c>
      <c r="D119">
        <v>0.73765093299999995</v>
      </c>
      <c r="E119">
        <v>5.2764634999999997E-2</v>
      </c>
      <c r="F119" t="s">
        <v>20</v>
      </c>
      <c r="J119" t="s">
        <v>49</v>
      </c>
      <c r="L119" t="str">
        <f t="shared" si="5"/>
        <v>Llama-3-70B-Instruct cf</v>
      </c>
      <c r="M119" t="str">
        <f t="shared" si="6"/>
        <v>Llama2-13B-chat m2</v>
      </c>
      <c r="N119">
        <f t="shared" si="7"/>
        <v>0</v>
      </c>
      <c r="O119">
        <f t="shared" si="8"/>
        <v>0</v>
      </c>
      <c r="P119" t="str">
        <f t="shared" si="9"/>
        <v>Llama2-13B-chat m2</v>
      </c>
    </row>
    <row r="120" spans="1:16" x14ac:dyDescent="0.35">
      <c r="A120" t="s">
        <v>67</v>
      </c>
      <c r="B120" t="s">
        <v>32</v>
      </c>
      <c r="C120">
        <v>0.69813391899999999</v>
      </c>
      <c r="D120">
        <v>0.749725576</v>
      </c>
      <c r="E120">
        <v>6.8888600000000001E-3</v>
      </c>
      <c r="F120" t="s">
        <v>20</v>
      </c>
      <c r="J120" t="s">
        <v>51</v>
      </c>
      <c r="L120" t="str">
        <f t="shared" si="5"/>
        <v>Llama-3.1-70B-Instruct cf</v>
      </c>
      <c r="M120" t="str">
        <f t="shared" si="6"/>
        <v>Llama-3-70B-Instruct-Turbo m2</v>
      </c>
      <c r="N120">
        <f t="shared" si="7"/>
        <v>0</v>
      </c>
      <c r="O120">
        <f t="shared" si="8"/>
        <v>0</v>
      </c>
      <c r="P120" t="str">
        <f t="shared" si="9"/>
        <v>Llama-3-70B-Instruct-Turbo m2</v>
      </c>
    </row>
    <row r="121" spans="1:16" x14ac:dyDescent="0.35">
      <c r="A121" t="s">
        <v>67</v>
      </c>
      <c r="B121" t="s">
        <v>33</v>
      </c>
      <c r="C121">
        <v>0.70362239299999996</v>
      </c>
      <c r="D121">
        <v>0.758507135</v>
      </c>
      <c r="E121">
        <v>4.1237740000000002E-3</v>
      </c>
      <c r="F121" t="s">
        <v>20</v>
      </c>
      <c r="J121" t="s">
        <v>52</v>
      </c>
      <c r="L121" t="str">
        <f t="shared" si="5"/>
        <v>Llama-3.1-405B-Instruct cf</v>
      </c>
      <c r="M121" t="str">
        <f t="shared" si="6"/>
        <v>Llama-3.1-70B-Instruct-Turbo m2</v>
      </c>
      <c r="N121">
        <f t="shared" si="7"/>
        <v>0</v>
      </c>
      <c r="O121">
        <f t="shared" si="8"/>
        <v>0</v>
      </c>
      <c r="P121" t="str">
        <f t="shared" si="9"/>
        <v>Llama-3.1-70B-Instruct-Turbo m2</v>
      </c>
    </row>
    <row r="122" spans="1:16" x14ac:dyDescent="0.35">
      <c r="A122" t="s">
        <v>67</v>
      </c>
      <c r="B122" t="s">
        <v>35</v>
      </c>
      <c r="C122">
        <v>0.73655323800000005</v>
      </c>
      <c r="D122">
        <v>0.79582876000000002</v>
      </c>
      <c r="E122">
        <v>1.399633E-3</v>
      </c>
      <c r="F122" t="s">
        <v>20</v>
      </c>
      <c r="J122" t="s">
        <v>53</v>
      </c>
      <c r="L122" t="str">
        <f t="shared" si="5"/>
        <v>Llama-3.3-70B-Instruct cf</v>
      </c>
      <c r="M122" t="str">
        <f t="shared" si="6"/>
        <v>Llama-3.1-405B-Instruct-Turbo m2</v>
      </c>
      <c r="N122">
        <f t="shared" si="7"/>
        <v>0</v>
      </c>
      <c r="O122">
        <f t="shared" si="8"/>
        <v>0</v>
      </c>
      <c r="P122" t="str">
        <f t="shared" si="9"/>
        <v>Llama-3.1-405B-Instruct-Turbo m2</v>
      </c>
    </row>
    <row r="123" spans="1:16" x14ac:dyDescent="0.35">
      <c r="A123" t="s">
        <v>67</v>
      </c>
      <c r="B123" t="s">
        <v>37</v>
      </c>
      <c r="C123">
        <v>0.69703622399999998</v>
      </c>
      <c r="D123">
        <v>0.74643249199999995</v>
      </c>
      <c r="E123">
        <v>9.3251740000000003E-3</v>
      </c>
      <c r="F123" t="s">
        <v>20</v>
      </c>
      <c r="J123" t="s">
        <v>85</v>
      </c>
      <c r="L123" t="str">
        <f t="shared" si="5"/>
        <v>q_test_total</v>
      </c>
      <c r="M123" t="str">
        <f t="shared" si="6"/>
        <v>Llama-3.3-70B-Instruct-Turbo m2</v>
      </c>
      <c r="N123">
        <f t="shared" si="7"/>
        <v>0</v>
      </c>
      <c r="O123">
        <f t="shared" si="8"/>
        <v>0</v>
      </c>
      <c r="P123" t="str">
        <f t="shared" si="9"/>
        <v>Llama-3.3-70B-Instruct-Turbo m2</v>
      </c>
    </row>
    <row r="124" spans="1:16" x14ac:dyDescent="0.35">
      <c r="A124" t="s">
        <v>67</v>
      </c>
      <c r="B124" t="s">
        <v>39</v>
      </c>
      <c r="C124">
        <v>0.77497255799999998</v>
      </c>
      <c r="D124">
        <v>0.81668496199999996</v>
      </c>
      <c r="E124">
        <v>1.3603850000000001E-2</v>
      </c>
      <c r="F124" t="s">
        <v>20</v>
      </c>
      <c r="G124" t="s">
        <v>62</v>
      </c>
      <c r="J124" t="s">
        <v>25</v>
      </c>
      <c r="L124" t="str">
        <f t="shared" si="5"/>
        <v>GPT-Neo-1.3B m2</v>
      </c>
      <c r="M124" t="str">
        <f t="shared" si="6"/>
        <v>5qLlama2-70B mixedprompt</v>
      </c>
      <c r="N124">
        <f t="shared" si="7"/>
        <v>5.4415400000000003E-2</v>
      </c>
      <c r="O124" t="str">
        <f t="shared" si="8"/>
        <v>5q</v>
      </c>
      <c r="P124" t="str">
        <f t="shared" si="9"/>
        <v>Llama2-70B mixedprompt</v>
      </c>
    </row>
    <row r="125" spans="1:16" x14ac:dyDescent="0.35">
      <c r="A125" t="s">
        <v>67</v>
      </c>
      <c r="B125" t="s">
        <v>41</v>
      </c>
      <c r="C125">
        <v>0.699231614</v>
      </c>
      <c r="D125">
        <v>0.68825466499999999</v>
      </c>
      <c r="E125">
        <v>0.30563648599999999</v>
      </c>
      <c r="F125" t="s">
        <v>20</v>
      </c>
      <c r="G125" t="s">
        <v>62</v>
      </c>
      <c r="J125" t="s">
        <v>26</v>
      </c>
      <c r="L125" t="str">
        <f t="shared" si="5"/>
        <v>Llama2-7B m2</v>
      </c>
      <c r="M125" t="str">
        <f t="shared" si="6"/>
        <v>5qLlama2-13B-chat mixedprompt</v>
      </c>
      <c r="N125">
        <f t="shared" si="7"/>
        <v>0.34929884114285698</v>
      </c>
      <c r="O125" t="str">
        <f t="shared" si="8"/>
        <v>5q</v>
      </c>
      <c r="P125" t="str">
        <f t="shared" si="9"/>
        <v>Llama2-13B-chat mixedprompt</v>
      </c>
    </row>
    <row r="126" spans="1:16" x14ac:dyDescent="0.35">
      <c r="A126" t="s">
        <v>67</v>
      </c>
      <c r="B126" t="s">
        <v>43</v>
      </c>
      <c r="C126">
        <v>0.88913282100000002</v>
      </c>
      <c r="D126">
        <v>0.90230515899999997</v>
      </c>
      <c r="E126">
        <v>0.17882472199999999</v>
      </c>
      <c r="F126" t="s">
        <v>20</v>
      </c>
      <c r="G126" t="s">
        <v>62</v>
      </c>
      <c r="J126" t="s">
        <v>27</v>
      </c>
      <c r="L126" t="str">
        <f t="shared" si="5"/>
        <v>Llama2-13B m2</v>
      </c>
      <c r="M126" t="str">
        <f t="shared" si="6"/>
        <v>5qLlama-3.1-70B-Instruct-Turbo mixedprompt</v>
      </c>
      <c r="N126">
        <f t="shared" si="7"/>
        <v>0.31476461280000001</v>
      </c>
      <c r="O126" t="str">
        <f t="shared" si="8"/>
        <v>5q</v>
      </c>
      <c r="P126" t="str">
        <f t="shared" si="9"/>
        <v>Llama-3.1-70B-Instruct-Turbo mixedprompt</v>
      </c>
    </row>
    <row r="127" spans="1:16" x14ac:dyDescent="0.35">
      <c r="A127" t="s">
        <v>67</v>
      </c>
      <c r="B127" t="s">
        <v>44</v>
      </c>
      <c r="C127">
        <v>0.90450054899999999</v>
      </c>
      <c r="D127">
        <v>0.93413831000000003</v>
      </c>
      <c r="E127">
        <v>1.0100691E-2</v>
      </c>
      <c r="F127" t="s">
        <v>20</v>
      </c>
      <c r="G127" t="s">
        <v>62</v>
      </c>
      <c r="J127" t="s">
        <v>28</v>
      </c>
      <c r="L127" t="str">
        <f t="shared" si="5"/>
        <v>Llama2-70B m2</v>
      </c>
      <c r="M127" t="str">
        <f t="shared" si="6"/>
        <v>5qLlama-3.1-405B-Instruct-Turbo mixedprompt</v>
      </c>
      <c r="N127">
        <f t="shared" si="7"/>
        <v>5.4415400000000003E-2</v>
      </c>
      <c r="O127" t="str">
        <f t="shared" si="8"/>
        <v>5q</v>
      </c>
      <c r="P127" t="str">
        <f t="shared" si="9"/>
        <v>Llama-3.1-405B-Instruct-Turbo mixedprompt</v>
      </c>
    </row>
    <row r="128" spans="1:16" x14ac:dyDescent="0.35">
      <c r="A128" t="s">
        <v>67</v>
      </c>
      <c r="B128" t="s">
        <v>45</v>
      </c>
      <c r="C128">
        <v>0.88474204199999995</v>
      </c>
      <c r="D128">
        <v>0.905598244</v>
      </c>
      <c r="E128">
        <v>7.3103281000000006E-2</v>
      </c>
      <c r="F128" t="s">
        <v>20</v>
      </c>
      <c r="G128" t="s">
        <v>62</v>
      </c>
      <c r="J128" t="s">
        <v>29</v>
      </c>
      <c r="L128" t="str">
        <f t="shared" si="5"/>
        <v>Llama2-7B-chat m2</v>
      </c>
      <c r="M128" t="str">
        <f t="shared" si="6"/>
        <v>5qLlama-3.3-70B-Instruct-Turbo mixedprompt</v>
      </c>
      <c r="N128">
        <f t="shared" si="7"/>
        <v>0.19494208266666599</v>
      </c>
      <c r="O128" t="str">
        <f t="shared" si="8"/>
        <v>5q</v>
      </c>
      <c r="P128" t="str">
        <f t="shared" si="9"/>
        <v>Llama-3.3-70B-Instruct-Turbo mixedprompt</v>
      </c>
    </row>
    <row r="129" spans="1:16" x14ac:dyDescent="0.35">
      <c r="A129" t="s">
        <v>67</v>
      </c>
      <c r="B129" t="s">
        <v>46</v>
      </c>
      <c r="C129">
        <v>0.86608122899999995</v>
      </c>
      <c r="D129">
        <v>0.86827661899999997</v>
      </c>
      <c r="E129">
        <v>0.44509648800000001</v>
      </c>
      <c r="F129" t="s">
        <v>20</v>
      </c>
      <c r="G129" t="s">
        <v>62</v>
      </c>
      <c r="J129" t="s">
        <v>30</v>
      </c>
      <c r="L129" t="str">
        <f t="shared" si="5"/>
        <v>Llama2-13B-chat m2</v>
      </c>
      <c r="M129" t="str">
        <f t="shared" si="6"/>
        <v>5qGPT-4o-mini mixedprompt</v>
      </c>
      <c r="N129">
        <f t="shared" si="7"/>
        <v>0.44509648800000001</v>
      </c>
      <c r="O129" t="str">
        <f t="shared" si="8"/>
        <v>5q</v>
      </c>
      <c r="P129" t="str">
        <f t="shared" si="9"/>
        <v>GPT-4o-mini mixedprompt</v>
      </c>
    </row>
    <row r="130" spans="1:16" x14ac:dyDescent="0.35">
      <c r="A130" t="s">
        <v>67</v>
      </c>
      <c r="B130" t="s">
        <v>47</v>
      </c>
      <c r="C130">
        <v>0.92974752999999999</v>
      </c>
      <c r="D130">
        <v>0.93962678399999999</v>
      </c>
      <c r="E130">
        <v>0.19672788299999999</v>
      </c>
      <c r="F130" t="s">
        <v>20</v>
      </c>
      <c r="G130" t="s">
        <v>62</v>
      </c>
      <c r="J130" t="s">
        <v>32</v>
      </c>
      <c r="L130" t="str">
        <f t="shared" si="5"/>
        <v>Llama-3-70B-Instruct-Turbo m2</v>
      </c>
      <c r="M130" t="str">
        <f t="shared" si="6"/>
        <v>5qGPT-4o mixedprompt</v>
      </c>
      <c r="N130">
        <f t="shared" si="7"/>
        <v>0.31476461280000001</v>
      </c>
      <c r="O130" t="str">
        <f t="shared" si="8"/>
        <v>5q</v>
      </c>
      <c r="P130" t="str">
        <f t="shared" si="9"/>
        <v>GPT-4o mixedprompt</v>
      </c>
    </row>
    <row r="131" spans="1:16" x14ac:dyDescent="0.35">
      <c r="A131" t="s">
        <v>67</v>
      </c>
      <c r="B131" t="s">
        <v>48</v>
      </c>
      <c r="C131">
        <v>0.92645444600000004</v>
      </c>
      <c r="D131">
        <v>0.93413831000000003</v>
      </c>
      <c r="E131">
        <v>0.259787887</v>
      </c>
      <c r="F131" t="s">
        <v>20</v>
      </c>
      <c r="G131" t="s">
        <v>62</v>
      </c>
      <c r="J131" t="s">
        <v>33</v>
      </c>
      <c r="L131" t="str">
        <f t="shared" ref="L131:L194" si="10">I131&amp;J131</f>
        <v>Llama-3.1-70B-Instruct-Turbo m2</v>
      </c>
      <c r="M131" t="str">
        <f t="shared" ref="M131:M194" si="11">G131&amp;B131</f>
        <v>5qo1-mini mixedprompt</v>
      </c>
      <c r="N131">
        <f t="shared" ref="N131:N194" si="12">INDEX(H:H,MATCH(M131,L:L,0))</f>
        <v>0.34638384933333299</v>
      </c>
      <c r="O131" t="str">
        <f t="shared" ref="O131:O194" si="13">_xlfn.IFNA(INDEX(I:I,MATCH(M131,L:L,0)),"")</f>
        <v>5q</v>
      </c>
      <c r="P131" t="str">
        <f t="shared" ref="P131:P194" si="14">INDEX(J:J,MATCH(M131,L:L,0))</f>
        <v>o1-mini mixedprompt</v>
      </c>
    </row>
    <row r="132" spans="1:16" x14ac:dyDescent="0.35">
      <c r="A132" t="s">
        <v>67</v>
      </c>
      <c r="B132" t="s">
        <v>34</v>
      </c>
      <c r="C132">
        <v>0.69593852899999997</v>
      </c>
      <c r="D132">
        <v>0.74753018699999996</v>
      </c>
      <c r="E132">
        <v>7.6799999999999997E-5</v>
      </c>
      <c r="F132" t="s">
        <v>20</v>
      </c>
      <c r="G132" t="s">
        <v>31</v>
      </c>
      <c r="J132" t="s">
        <v>35</v>
      </c>
      <c r="L132" t="str">
        <f t="shared" si="10"/>
        <v>Llama-3.1-405B-Instruct-Turbo m2</v>
      </c>
      <c r="M132" t="str">
        <f t="shared" si="11"/>
        <v>5mLlama-3-70B-Instruct c</v>
      </c>
      <c r="N132">
        <f t="shared" si="12"/>
        <v>4.32903E-4</v>
      </c>
      <c r="O132" t="str">
        <f t="shared" si="13"/>
        <v>5m</v>
      </c>
      <c r="P132" t="str">
        <f t="shared" si="14"/>
        <v>Llama-3-70B-Instruct c</v>
      </c>
    </row>
    <row r="133" spans="1:16" x14ac:dyDescent="0.35">
      <c r="A133" t="s">
        <v>67</v>
      </c>
      <c r="B133" t="s">
        <v>49</v>
      </c>
      <c r="C133">
        <v>0.65806805700000004</v>
      </c>
      <c r="D133">
        <v>0.67288693700000002</v>
      </c>
      <c r="E133">
        <v>0.171572013</v>
      </c>
      <c r="F133" t="s">
        <v>20</v>
      </c>
      <c r="J133" t="s">
        <v>37</v>
      </c>
      <c r="L133" t="str">
        <f t="shared" si="10"/>
        <v>Llama-3.3-70B-Instruct-Turbo m2</v>
      </c>
      <c r="M133" t="str">
        <f t="shared" si="11"/>
        <v>Llama-3-70B-Instruct cf</v>
      </c>
      <c r="N133">
        <f t="shared" si="12"/>
        <v>0</v>
      </c>
      <c r="O133">
        <f t="shared" si="13"/>
        <v>0</v>
      </c>
      <c r="P133" t="str">
        <f t="shared" si="14"/>
        <v>Llama-3-70B-Instruct cf</v>
      </c>
    </row>
    <row r="134" spans="1:16" x14ac:dyDescent="0.35">
      <c r="A134" t="s">
        <v>67</v>
      </c>
      <c r="B134" t="s">
        <v>36</v>
      </c>
      <c r="C134">
        <v>0.70728137599999996</v>
      </c>
      <c r="D134">
        <v>0.73600439100000004</v>
      </c>
      <c r="E134">
        <v>1.7330630999999999E-2</v>
      </c>
      <c r="F134" t="s">
        <v>20</v>
      </c>
      <c r="G134" t="s">
        <v>31</v>
      </c>
      <c r="J134" t="s">
        <v>49</v>
      </c>
      <c r="L134" t="str">
        <f t="shared" si="10"/>
        <v>Llama-3-70B-Instruct cf</v>
      </c>
      <c r="M134" t="str">
        <f t="shared" si="11"/>
        <v>5mLlama-3.1-70B-Instruct c</v>
      </c>
      <c r="N134">
        <f t="shared" si="12"/>
        <v>2.5995946499999999E-2</v>
      </c>
      <c r="O134" t="str">
        <f t="shared" si="13"/>
        <v>5m</v>
      </c>
      <c r="P134" t="str">
        <f t="shared" si="14"/>
        <v>Llama-3.1-70B-Instruct c</v>
      </c>
    </row>
    <row r="135" spans="1:16" x14ac:dyDescent="0.35">
      <c r="A135" t="s">
        <v>67</v>
      </c>
      <c r="B135" t="s">
        <v>51</v>
      </c>
      <c r="C135">
        <v>0.64818880400000001</v>
      </c>
      <c r="D135">
        <v>0.66575192100000002</v>
      </c>
      <c r="E135">
        <v>0.132069246</v>
      </c>
      <c r="F135" t="s">
        <v>20</v>
      </c>
      <c r="J135" t="s">
        <v>51</v>
      </c>
      <c r="L135" t="str">
        <f t="shared" si="10"/>
        <v>Llama-3.1-70B-Instruct cf</v>
      </c>
      <c r="M135" t="str">
        <f t="shared" si="11"/>
        <v>Llama-3.1-70B-Instruct cf</v>
      </c>
      <c r="N135">
        <f t="shared" si="12"/>
        <v>0</v>
      </c>
      <c r="O135">
        <f t="shared" si="13"/>
        <v>0</v>
      </c>
      <c r="P135" t="str">
        <f t="shared" si="14"/>
        <v>Llama-3.1-70B-Instruct cf</v>
      </c>
    </row>
    <row r="136" spans="1:16" x14ac:dyDescent="0.35">
      <c r="A136" t="s">
        <v>67</v>
      </c>
      <c r="B136" t="s">
        <v>38</v>
      </c>
      <c r="C136">
        <v>0.73545554300000004</v>
      </c>
      <c r="D136">
        <v>0.78265642199999996</v>
      </c>
      <c r="E136">
        <v>1.44301E-4</v>
      </c>
      <c r="F136" t="s">
        <v>20</v>
      </c>
      <c r="G136" t="s">
        <v>31</v>
      </c>
      <c r="J136" t="s">
        <v>52</v>
      </c>
      <c r="L136" t="str">
        <f t="shared" si="10"/>
        <v>Llama-3.1-405B-Instruct cf</v>
      </c>
      <c r="M136" t="str">
        <f t="shared" si="11"/>
        <v>5mLlama-3.1-405B-Instruct c</v>
      </c>
      <c r="N136">
        <f t="shared" si="12"/>
        <v>4.32903E-4</v>
      </c>
      <c r="O136" t="str">
        <f t="shared" si="13"/>
        <v>5m</v>
      </c>
      <c r="P136" t="str">
        <f t="shared" si="14"/>
        <v>Llama-3.1-405B-Instruct c</v>
      </c>
    </row>
    <row r="137" spans="1:16" x14ac:dyDescent="0.35">
      <c r="A137" t="s">
        <v>67</v>
      </c>
      <c r="B137" t="s">
        <v>52</v>
      </c>
      <c r="C137">
        <v>0.66190998899999998</v>
      </c>
      <c r="D137">
        <v>0.69538968199999995</v>
      </c>
      <c r="E137">
        <v>1.5237671E-2</v>
      </c>
      <c r="F137" t="s">
        <v>20</v>
      </c>
      <c r="J137" t="s">
        <v>53</v>
      </c>
      <c r="L137" t="str">
        <f t="shared" si="10"/>
        <v>Llama-3.3-70B-Instruct cf</v>
      </c>
      <c r="M137" t="str">
        <f t="shared" si="11"/>
        <v>Llama-3.1-405B-Instruct cf</v>
      </c>
      <c r="N137">
        <f t="shared" si="12"/>
        <v>0</v>
      </c>
      <c r="O137">
        <f t="shared" si="13"/>
        <v>0</v>
      </c>
      <c r="P137" t="str">
        <f t="shared" si="14"/>
        <v>Llama-3.1-405B-Instruct cf</v>
      </c>
    </row>
    <row r="138" spans="1:16" x14ac:dyDescent="0.35">
      <c r="A138" t="s">
        <v>67</v>
      </c>
      <c r="B138" t="s">
        <v>40</v>
      </c>
      <c r="C138">
        <v>0.71094035899999997</v>
      </c>
      <c r="D138">
        <v>0.741492865</v>
      </c>
      <c r="E138">
        <v>1.1982272E-2</v>
      </c>
      <c r="F138" t="s">
        <v>20</v>
      </c>
      <c r="G138" t="s">
        <v>31</v>
      </c>
      <c r="J138" t="s">
        <v>85</v>
      </c>
      <c r="L138" t="str">
        <f t="shared" si="10"/>
        <v>q_test_total</v>
      </c>
      <c r="M138" t="str">
        <f t="shared" si="11"/>
        <v>5mLlama-3.3-70B-Instruct c</v>
      </c>
      <c r="N138">
        <f t="shared" si="12"/>
        <v>2.3964544000000001E-2</v>
      </c>
      <c r="O138" t="str">
        <f t="shared" si="13"/>
        <v>5m</v>
      </c>
      <c r="P138" t="str">
        <f t="shared" si="14"/>
        <v>Llama-3.3-70B-Instruct c</v>
      </c>
    </row>
    <row r="139" spans="1:16" x14ac:dyDescent="0.35">
      <c r="A139" t="s">
        <v>67</v>
      </c>
      <c r="B139" t="s">
        <v>53</v>
      </c>
      <c r="C139">
        <v>0.63885839700000002</v>
      </c>
      <c r="D139">
        <v>0.65038419300000005</v>
      </c>
      <c r="E139">
        <v>0.23366544</v>
      </c>
      <c r="F139" t="s">
        <v>20</v>
      </c>
      <c r="J139" t="s">
        <v>25</v>
      </c>
      <c r="L139" t="str">
        <f t="shared" si="10"/>
        <v>GPT-Neo-1.3B m2</v>
      </c>
      <c r="M139" t="str">
        <f t="shared" si="11"/>
        <v>Llama-3.3-70B-Instruct cf</v>
      </c>
      <c r="N139">
        <f t="shared" si="12"/>
        <v>0</v>
      </c>
      <c r="O139">
        <f t="shared" si="13"/>
        <v>0</v>
      </c>
      <c r="P139" t="str">
        <f t="shared" si="14"/>
        <v>Llama-3.3-70B-Instruct cf</v>
      </c>
    </row>
    <row r="140" spans="1:16" x14ac:dyDescent="0.35">
      <c r="A140" t="s">
        <v>67</v>
      </c>
      <c r="B140" t="s">
        <v>11</v>
      </c>
      <c r="C140">
        <v>0.912280702</v>
      </c>
      <c r="D140">
        <v>0.97368421100000002</v>
      </c>
      <c r="E140">
        <v>2.2788800000000001E-2</v>
      </c>
      <c r="F140" t="s">
        <v>20</v>
      </c>
      <c r="G140" t="s">
        <v>57</v>
      </c>
      <c r="J140" t="s">
        <v>26</v>
      </c>
      <c r="L140" t="str">
        <f t="shared" si="10"/>
        <v>Llama2-7B m2</v>
      </c>
      <c r="M140" t="str">
        <f t="shared" si="11"/>
        <v>5tLlama3.1-70B-Instruct Q</v>
      </c>
      <c r="N140">
        <f t="shared" si="12"/>
        <v>0.112733532</v>
      </c>
      <c r="O140" t="str">
        <f t="shared" si="13"/>
        <v>5t</v>
      </c>
      <c r="P140" t="str">
        <f t="shared" si="14"/>
        <v>Llama3.1-70B-Instruct Q</v>
      </c>
    </row>
    <row r="141" spans="1:16" x14ac:dyDescent="0.35">
      <c r="A141" t="s">
        <v>67</v>
      </c>
      <c r="B141" t="s">
        <v>14</v>
      </c>
      <c r="C141">
        <v>0.92105263199999998</v>
      </c>
      <c r="D141">
        <v>0.97368421100000002</v>
      </c>
      <c r="E141">
        <v>3.7577843999999999E-2</v>
      </c>
      <c r="F141" t="s">
        <v>20</v>
      </c>
      <c r="G141" t="s">
        <v>57</v>
      </c>
      <c r="J141" t="s">
        <v>27</v>
      </c>
      <c r="L141" t="str">
        <f t="shared" si="10"/>
        <v>Llama2-13B m2</v>
      </c>
      <c r="M141" t="str">
        <f t="shared" si="11"/>
        <v>5tLlama3.1-405B-Instruct Q</v>
      </c>
      <c r="N141">
        <f t="shared" si="12"/>
        <v>0.112733532</v>
      </c>
      <c r="O141" t="str">
        <f t="shared" si="13"/>
        <v>5t</v>
      </c>
      <c r="P141" t="str">
        <f t="shared" si="14"/>
        <v>Llama3.1-405B-Instruct Q</v>
      </c>
    </row>
    <row r="142" spans="1:16" x14ac:dyDescent="0.35">
      <c r="A142" t="s">
        <v>67</v>
      </c>
      <c r="B142" t="s">
        <v>15</v>
      </c>
      <c r="C142">
        <v>0.92982456099999999</v>
      </c>
      <c r="D142">
        <v>0.96491228100000004</v>
      </c>
      <c r="E142">
        <v>0.117743628</v>
      </c>
      <c r="F142" t="s">
        <v>20</v>
      </c>
      <c r="G142" t="s">
        <v>57</v>
      </c>
      <c r="J142" t="s">
        <v>28</v>
      </c>
      <c r="L142" t="str">
        <f t="shared" si="10"/>
        <v>Llama2-70B m2</v>
      </c>
      <c r="M142" t="str">
        <f t="shared" si="11"/>
        <v>5tLlama3.3-70B-Instruct Q</v>
      </c>
      <c r="N142">
        <f t="shared" si="12"/>
        <v>0.17661544200000001</v>
      </c>
      <c r="O142" t="str">
        <f t="shared" si="13"/>
        <v>5t</v>
      </c>
      <c r="P142" t="str">
        <f t="shared" si="14"/>
        <v>Llama3.3-70B-Instruct Q</v>
      </c>
    </row>
    <row r="143" spans="1:16" x14ac:dyDescent="0.35">
      <c r="A143" t="s">
        <v>67</v>
      </c>
      <c r="B143" t="s">
        <v>16</v>
      </c>
      <c r="C143">
        <v>0.86842105300000005</v>
      </c>
      <c r="D143">
        <v>0.92982456099999999</v>
      </c>
      <c r="E143" s="1">
        <v>6.1864954999999999E-2</v>
      </c>
      <c r="F143" t="s">
        <v>20</v>
      </c>
      <c r="G143" t="s">
        <v>57</v>
      </c>
      <c r="J143" t="s">
        <v>29</v>
      </c>
      <c r="L143" t="str">
        <f t="shared" si="10"/>
        <v>Llama2-7B-chat m2</v>
      </c>
      <c r="M143" t="str">
        <f t="shared" si="11"/>
        <v>5tgpt-4o-mini Q</v>
      </c>
      <c r="N143">
        <f t="shared" si="12"/>
        <v>0.12372991</v>
      </c>
      <c r="O143" t="str">
        <f t="shared" si="13"/>
        <v>5t</v>
      </c>
      <c r="P143" t="str">
        <f t="shared" si="14"/>
        <v>gpt-4o-mini Q</v>
      </c>
    </row>
    <row r="144" spans="1:16" x14ac:dyDescent="0.35">
      <c r="A144" t="s">
        <v>67</v>
      </c>
      <c r="B144" t="s">
        <v>17</v>
      </c>
      <c r="C144">
        <v>0.94736842099999996</v>
      </c>
      <c r="D144">
        <v>0.97368421100000002</v>
      </c>
      <c r="E144">
        <v>0.153783367</v>
      </c>
      <c r="F144" t="s">
        <v>20</v>
      </c>
      <c r="G144" t="s">
        <v>57</v>
      </c>
      <c r="J144" t="s">
        <v>30</v>
      </c>
      <c r="L144" t="str">
        <f t="shared" si="10"/>
        <v>Llama2-13B-chat m2</v>
      </c>
      <c r="M144" t="str">
        <f t="shared" si="11"/>
        <v>5tgpt-4o Q</v>
      </c>
      <c r="N144">
        <f t="shared" si="12"/>
        <v>0.18454004039999999</v>
      </c>
      <c r="O144" t="str">
        <f t="shared" si="13"/>
        <v>5t</v>
      </c>
      <c r="P144" t="str">
        <f t="shared" si="14"/>
        <v>gpt-4o Q</v>
      </c>
    </row>
    <row r="145" spans="1:16" x14ac:dyDescent="0.35">
      <c r="A145" t="s">
        <v>67</v>
      </c>
      <c r="B145" t="s">
        <v>85</v>
      </c>
      <c r="C145">
        <v>0.91578947399999999</v>
      </c>
      <c r="D145">
        <v>0.96315789500000004</v>
      </c>
      <c r="E145" s="1">
        <v>3.9899800000000002E-4</v>
      </c>
      <c r="F145" t="s">
        <v>20</v>
      </c>
      <c r="J145" t="s">
        <v>32</v>
      </c>
      <c r="L145" t="str">
        <f t="shared" si="10"/>
        <v>Llama-3-70B-Instruct-Turbo m2</v>
      </c>
      <c r="M145" t="str">
        <f t="shared" si="11"/>
        <v>q_test_total</v>
      </c>
      <c r="N145">
        <f t="shared" si="12"/>
        <v>0</v>
      </c>
      <c r="O145">
        <f t="shared" si="13"/>
        <v>0</v>
      </c>
      <c r="P145" t="str">
        <f t="shared" si="14"/>
        <v>q_test_total</v>
      </c>
    </row>
    <row r="146" spans="1:16" x14ac:dyDescent="0.35">
      <c r="A146" t="s">
        <v>67</v>
      </c>
      <c r="B146" t="s">
        <v>22</v>
      </c>
      <c r="C146">
        <v>0.95614035100000005</v>
      </c>
      <c r="D146">
        <v>0.94736842099999996</v>
      </c>
      <c r="E146" s="1">
        <v>0.378638372</v>
      </c>
      <c r="F146" t="s">
        <v>20</v>
      </c>
      <c r="G146" t="s">
        <v>57</v>
      </c>
      <c r="J146" t="s">
        <v>33</v>
      </c>
      <c r="L146" t="str">
        <f t="shared" si="10"/>
        <v>Llama-3.1-70B-Instruct-Turbo m2</v>
      </c>
      <c r="M146" t="str">
        <f t="shared" si="11"/>
        <v>5thuman</v>
      </c>
      <c r="N146">
        <f t="shared" si="12"/>
        <v>0.378638372</v>
      </c>
      <c r="O146" t="str">
        <f t="shared" si="13"/>
        <v>5t</v>
      </c>
      <c r="P146" t="str">
        <f t="shared" si="14"/>
        <v>human</v>
      </c>
    </row>
    <row r="147" spans="1:16" x14ac:dyDescent="0.35">
      <c r="A147" t="s">
        <v>68</v>
      </c>
      <c r="B147" t="s">
        <v>63</v>
      </c>
      <c r="C147">
        <v>0.69868276600000001</v>
      </c>
      <c r="D147">
        <v>0.71525795800000003</v>
      </c>
      <c r="E147" s="1">
        <v>6.59E-12</v>
      </c>
      <c r="F147" t="s">
        <v>12</v>
      </c>
      <c r="J147" t="s">
        <v>35</v>
      </c>
      <c r="L147" t="str">
        <f t="shared" si="10"/>
        <v>Llama-3.1-405B-Instruct-Turbo m2</v>
      </c>
      <c r="M147" t="str">
        <f t="shared" si="11"/>
        <v>Llama-3-70B-Instruct</v>
      </c>
      <c r="N147">
        <f t="shared" si="12"/>
        <v>0</v>
      </c>
      <c r="O147">
        <f t="shared" si="13"/>
        <v>0</v>
      </c>
      <c r="P147" t="str">
        <f t="shared" si="14"/>
        <v>Llama-3-70B-Instruct</v>
      </c>
    </row>
    <row r="148" spans="1:16" x14ac:dyDescent="0.35">
      <c r="A148" t="s">
        <v>69</v>
      </c>
      <c r="B148" t="s">
        <v>63</v>
      </c>
      <c r="C148">
        <v>0.69868276600000001</v>
      </c>
      <c r="D148">
        <v>0.69901207499999995</v>
      </c>
      <c r="E148" s="1">
        <v>0.94119914599999999</v>
      </c>
      <c r="F148" t="s">
        <v>12</v>
      </c>
      <c r="J148" t="s">
        <v>37</v>
      </c>
      <c r="L148" t="str">
        <f t="shared" si="10"/>
        <v>Llama-3.3-70B-Instruct-Turbo m2</v>
      </c>
      <c r="M148" t="str">
        <f t="shared" si="11"/>
        <v>Llama-3-70B-Instruct</v>
      </c>
      <c r="N148">
        <f t="shared" si="12"/>
        <v>0</v>
      </c>
      <c r="O148">
        <f t="shared" si="13"/>
        <v>0</v>
      </c>
      <c r="P148" t="str">
        <f t="shared" si="14"/>
        <v>Llama-3-70B-Instruct</v>
      </c>
    </row>
    <row r="149" spans="1:16" x14ac:dyDescent="0.35">
      <c r="A149" t="s">
        <v>70</v>
      </c>
      <c r="B149" t="s">
        <v>63</v>
      </c>
      <c r="C149">
        <v>0.69868276600000001</v>
      </c>
      <c r="D149">
        <v>0.67200878200000003</v>
      </c>
      <c r="E149" s="1">
        <v>1.5900000000000001E-12</v>
      </c>
      <c r="F149" t="s">
        <v>12</v>
      </c>
      <c r="J149" t="s">
        <v>49</v>
      </c>
      <c r="L149" t="str">
        <f t="shared" si="10"/>
        <v>Llama-3-70B-Instruct cf</v>
      </c>
      <c r="M149" t="str">
        <f t="shared" si="11"/>
        <v>Llama-3-70B-Instruct</v>
      </c>
      <c r="N149">
        <f t="shared" si="12"/>
        <v>0</v>
      </c>
      <c r="O149">
        <f t="shared" si="13"/>
        <v>0</v>
      </c>
      <c r="P149" t="str">
        <f t="shared" si="14"/>
        <v>Llama-3-70B-Instruct</v>
      </c>
    </row>
    <row r="150" spans="1:16" x14ac:dyDescent="0.35">
      <c r="A150" t="s">
        <v>71</v>
      </c>
      <c r="B150" t="s">
        <v>63</v>
      </c>
      <c r="C150">
        <v>0.69868276600000001</v>
      </c>
      <c r="D150">
        <v>0.633699232</v>
      </c>
      <c r="E150" s="1">
        <v>2.7900000000000001E-58</v>
      </c>
      <c r="F150" t="s">
        <v>12</v>
      </c>
      <c r="J150" t="s">
        <v>51</v>
      </c>
      <c r="L150" t="str">
        <f t="shared" si="10"/>
        <v>Llama-3.1-70B-Instruct cf</v>
      </c>
      <c r="M150" t="str">
        <f t="shared" si="11"/>
        <v>Llama-3-70B-Instruct</v>
      </c>
      <c r="N150">
        <f t="shared" si="12"/>
        <v>0</v>
      </c>
      <c r="O150">
        <f t="shared" si="13"/>
        <v>0</v>
      </c>
      <c r="P150" t="str">
        <f t="shared" si="14"/>
        <v>Llama-3-70B-Instruct</v>
      </c>
    </row>
    <row r="151" spans="1:16" x14ac:dyDescent="0.35">
      <c r="A151" t="s">
        <v>72</v>
      </c>
      <c r="B151" t="s">
        <v>63</v>
      </c>
      <c r="C151">
        <v>0.71525795800000003</v>
      </c>
      <c r="D151">
        <v>0.69901207499999995</v>
      </c>
      <c r="E151" s="1">
        <v>4.5200000000000001E-9</v>
      </c>
      <c r="F151" t="s">
        <v>12</v>
      </c>
      <c r="J151" t="s">
        <v>52</v>
      </c>
      <c r="L151" t="str">
        <f t="shared" si="10"/>
        <v>Llama-3.1-405B-Instruct cf</v>
      </c>
      <c r="M151" t="str">
        <f t="shared" si="11"/>
        <v>Llama-3-70B-Instruct</v>
      </c>
      <c r="N151">
        <f t="shared" si="12"/>
        <v>0</v>
      </c>
      <c r="O151">
        <f t="shared" si="13"/>
        <v>0</v>
      </c>
      <c r="P151" t="str">
        <f t="shared" si="14"/>
        <v>Llama-3-70B-Instruct</v>
      </c>
    </row>
    <row r="152" spans="1:16" x14ac:dyDescent="0.35">
      <c r="A152" t="s">
        <v>73</v>
      </c>
      <c r="B152" t="s">
        <v>63</v>
      </c>
      <c r="C152">
        <v>0.71525795800000003</v>
      </c>
      <c r="D152">
        <v>0.67200878200000003</v>
      </c>
      <c r="E152" s="1">
        <v>1.73E-31</v>
      </c>
      <c r="F152" t="s">
        <v>12</v>
      </c>
      <c r="J152" t="s">
        <v>53</v>
      </c>
      <c r="L152" t="str">
        <f t="shared" si="10"/>
        <v>Llama-3.3-70B-Instruct cf</v>
      </c>
      <c r="M152" t="str">
        <f t="shared" si="11"/>
        <v>Llama-3-70B-Instruct</v>
      </c>
      <c r="N152">
        <f t="shared" si="12"/>
        <v>0</v>
      </c>
      <c r="O152">
        <f t="shared" si="13"/>
        <v>0</v>
      </c>
      <c r="P152" t="str">
        <f t="shared" si="14"/>
        <v>Llama-3-70B-Instruct</v>
      </c>
    </row>
    <row r="153" spans="1:16" x14ac:dyDescent="0.35">
      <c r="A153" t="s">
        <v>74</v>
      </c>
      <c r="B153" t="s">
        <v>63</v>
      </c>
      <c r="C153">
        <v>0.71525795800000003</v>
      </c>
      <c r="D153">
        <v>0.633699232</v>
      </c>
      <c r="E153" s="1">
        <v>3.7399999999999998E-90</v>
      </c>
      <c r="F153" t="s">
        <v>12</v>
      </c>
      <c r="J153" t="s">
        <v>85</v>
      </c>
      <c r="L153" t="str">
        <f t="shared" si="10"/>
        <v>q_test_total</v>
      </c>
      <c r="M153" t="str">
        <f t="shared" si="11"/>
        <v>Llama-3-70B-Instruct</v>
      </c>
      <c r="N153">
        <f t="shared" si="12"/>
        <v>0</v>
      </c>
      <c r="O153">
        <f t="shared" si="13"/>
        <v>0</v>
      </c>
      <c r="P153" t="str">
        <f t="shared" si="14"/>
        <v>Llama-3-70B-Instruct</v>
      </c>
    </row>
    <row r="154" spans="1:16" x14ac:dyDescent="0.35">
      <c r="A154" t="s">
        <v>75</v>
      </c>
      <c r="B154" t="s">
        <v>63</v>
      </c>
      <c r="C154">
        <v>0.69901207499999995</v>
      </c>
      <c r="D154">
        <v>0.67200878200000003</v>
      </c>
      <c r="E154">
        <v>3.18E-15</v>
      </c>
      <c r="F154" t="s">
        <v>12</v>
      </c>
      <c r="J154" t="s">
        <v>25</v>
      </c>
      <c r="L154" t="str">
        <f t="shared" si="10"/>
        <v>GPT-Neo-1.3B m2</v>
      </c>
      <c r="M154" t="str">
        <f t="shared" si="11"/>
        <v>Llama-3-70B-Instruct</v>
      </c>
      <c r="N154">
        <f t="shared" si="12"/>
        <v>0</v>
      </c>
      <c r="O154">
        <f t="shared" si="13"/>
        <v>0</v>
      </c>
      <c r="P154" t="str">
        <f t="shared" si="14"/>
        <v>Llama-3-70B-Instruct</v>
      </c>
    </row>
    <row r="155" spans="1:16" x14ac:dyDescent="0.35">
      <c r="A155" t="s">
        <v>76</v>
      </c>
      <c r="B155" t="s">
        <v>63</v>
      </c>
      <c r="C155">
        <v>0.69901207499999995</v>
      </c>
      <c r="D155">
        <v>0.633699232</v>
      </c>
      <c r="E155" s="1">
        <v>3.0499999999999899E-69</v>
      </c>
      <c r="F155" t="s">
        <v>12</v>
      </c>
      <c r="J155" t="s">
        <v>26</v>
      </c>
      <c r="L155" t="str">
        <f t="shared" si="10"/>
        <v>Llama2-7B m2</v>
      </c>
      <c r="M155" t="str">
        <f t="shared" si="11"/>
        <v>Llama-3-70B-Instruct</v>
      </c>
      <c r="N155">
        <f t="shared" si="12"/>
        <v>0</v>
      </c>
      <c r="O155">
        <f t="shared" si="13"/>
        <v>0</v>
      </c>
      <c r="P155" t="str">
        <f t="shared" si="14"/>
        <v>Llama-3-70B-Instruct</v>
      </c>
    </row>
    <row r="156" spans="1:16" x14ac:dyDescent="0.35">
      <c r="A156" t="s">
        <v>77</v>
      </c>
      <c r="B156" t="s">
        <v>63</v>
      </c>
      <c r="C156">
        <v>0.67200878200000003</v>
      </c>
      <c r="D156">
        <v>0.633699232</v>
      </c>
      <c r="E156" s="1">
        <v>5.3100000000000002E-37</v>
      </c>
      <c r="F156" t="s">
        <v>12</v>
      </c>
      <c r="J156" t="s">
        <v>27</v>
      </c>
      <c r="L156" t="str">
        <f t="shared" si="10"/>
        <v>Llama2-13B m2</v>
      </c>
      <c r="M156" t="str">
        <f t="shared" si="11"/>
        <v>Llama-3-70B-Instruct</v>
      </c>
      <c r="N156">
        <f t="shared" si="12"/>
        <v>0</v>
      </c>
      <c r="O156">
        <f t="shared" si="13"/>
        <v>0</v>
      </c>
      <c r="P156" t="str">
        <f t="shared" si="14"/>
        <v>Llama-3-70B-Instruct</v>
      </c>
    </row>
    <row r="157" spans="1:16" x14ac:dyDescent="0.35">
      <c r="A157" t="s">
        <v>68</v>
      </c>
      <c r="B157" t="s">
        <v>64</v>
      </c>
      <c r="C157">
        <v>0.70142700300000005</v>
      </c>
      <c r="D157">
        <v>0.72250274400000003</v>
      </c>
      <c r="E157" s="1">
        <v>2.96E-13</v>
      </c>
      <c r="F157" t="s">
        <v>12</v>
      </c>
      <c r="J157" t="s">
        <v>28</v>
      </c>
      <c r="L157" t="str">
        <f t="shared" si="10"/>
        <v>Llama2-70B m2</v>
      </c>
      <c r="M157" t="str">
        <f t="shared" si="11"/>
        <v>Llama-3.1-70B-Instruct</v>
      </c>
      <c r="N157">
        <f t="shared" si="12"/>
        <v>0</v>
      </c>
      <c r="O157">
        <f t="shared" si="13"/>
        <v>0</v>
      </c>
      <c r="P157" t="str">
        <f t="shared" si="14"/>
        <v>Llama-3.1-70B-Instruct</v>
      </c>
    </row>
    <row r="158" spans="1:16" x14ac:dyDescent="0.35">
      <c r="A158" t="s">
        <v>69</v>
      </c>
      <c r="B158" t="s">
        <v>64</v>
      </c>
      <c r="C158">
        <v>0.70142700300000005</v>
      </c>
      <c r="D158">
        <v>0.693962678</v>
      </c>
      <c r="E158" s="1">
        <v>2.4015531999999999E-2</v>
      </c>
      <c r="F158" t="s">
        <v>12</v>
      </c>
      <c r="J158" t="s">
        <v>29</v>
      </c>
      <c r="L158" t="str">
        <f t="shared" si="10"/>
        <v>Llama2-7B-chat m2</v>
      </c>
      <c r="M158" t="str">
        <f t="shared" si="11"/>
        <v>Llama-3.1-70B-Instruct</v>
      </c>
      <c r="N158">
        <f t="shared" si="12"/>
        <v>0</v>
      </c>
      <c r="O158">
        <f t="shared" si="13"/>
        <v>0</v>
      </c>
      <c r="P158" t="str">
        <f t="shared" si="14"/>
        <v>Llama-3.1-70B-Instruct</v>
      </c>
    </row>
    <row r="159" spans="1:16" x14ac:dyDescent="0.35">
      <c r="A159" t="s">
        <v>70</v>
      </c>
      <c r="B159" t="s">
        <v>64</v>
      </c>
      <c r="C159">
        <v>0.70142700300000005</v>
      </c>
      <c r="D159">
        <v>0.67124039499999999</v>
      </c>
      <c r="E159" s="1">
        <v>2.94E-14</v>
      </c>
      <c r="F159" t="s">
        <v>12</v>
      </c>
      <c r="J159" t="s">
        <v>30</v>
      </c>
      <c r="L159" t="str">
        <f t="shared" si="10"/>
        <v>Llama2-13B-chat m2</v>
      </c>
      <c r="M159" t="str">
        <f t="shared" si="11"/>
        <v>Llama-3.1-70B-Instruct</v>
      </c>
      <c r="N159">
        <f t="shared" si="12"/>
        <v>0</v>
      </c>
      <c r="O159">
        <f t="shared" si="13"/>
        <v>0</v>
      </c>
      <c r="P159" t="str">
        <f t="shared" si="14"/>
        <v>Llama-3.1-70B-Instruct</v>
      </c>
    </row>
    <row r="160" spans="1:16" x14ac:dyDescent="0.35">
      <c r="A160" t="s">
        <v>71</v>
      </c>
      <c r="B160" t="s">
        <v>64</v>
      </c>
      <c r="C160">
        <v>0.70142700300000005</v>
      </c>
      <c r="D160">
        <v>0.63139407199999997</v>
      </c>
      <c r="E160" s="1">
        <v>9.4099999999999993E-65</v>
      </c>
      <c r="F160" t="s">
        <v>12</v>
      </c>
      <c r="J160" t="s">
        <v>32</v>
      </c>
      <c r="L160" t="str">
        <f t="shared" si="10"/>
        <v>Llama-3-70B-Instruct-Turbo m2</v>
      </c>
      <c r="M160" t="str">
        <f t="shared" si="11"/>
        <v>Llama-3.1-70B-Instruct</v>
      </c>
      <c r="N160">
        <f t="shared" si="12"/>
        <v>0</v>
      </c>
      <c r="O160">
        <f t="shared" si="13"/>
        <v>0</v>
      </c>
      <c r="P160" t="str">
        <f t="shared" si="14"/>
        <v>Llama-3.1-70B-Instruct</v>
      </c>
    </row>
    <row r="161" spans="1:16" x14ac:dyDescent="0.35">
      <c r="A161" t="s">
        <v>72</v>
      </c>
      <c r="B161" t="s">
        <v>64</v>
      </c>
      <c r="C161">
        <v>0.72250274400000003</v>
      </c>
      <c r="D161">
        <v>0.693962678</v>
      </c>
      <c r="E161" s="1">
        <v>1.4500000000000001E-22</v>
      </c>
      <c r="F161" t="s">
        <v>12</v>
      </c>
      <c r="J161" t="s">
        <v>33</v>
      </c>
      <c r="L161" t="str">
        <f t="shared" si="10"/>
        <v>Llama-3.1-70B-Instruct-Turbo m2</v>
      </c>
      <c r="M161" t="str">
        <f t="shared" si="11"/>
        <v>Llama-3.1-70B-Instruct</v>
      </c>
      <c r="N161">
        <f t="shared" si="12"/>
        <v>0</v>
      </c>
      <c r="O161">
        <f t="shared" si="13"/>
        <v>0</v>
      </c>
      <c r="P161" t="str">
        <f t="shared" si="14"/>
        <v>Llama-3.1-70B-Instruct</v>
      </c>
    </row>
    <row r="162" spans="1:16" x14ac:dyDescent="0.35">
      <c r="A162" t="s">
        <v>73</v>
      </c>
      <c r="B162" t="s">
        <v>64</v>
      </c>
      <c r="C162">
        <v>0.72250274400000003</v>
      </c>
      <c r="D162">
        <v>0.67124039499999999</v>
      </c>
      <c r="E162" s="1">
        <v>4.0999999999999996E-40</v>
      </c>
      <c r="F162" t="s">
        <v>12</v>
      </c>
      <c r="J162" t="s">
        <v>35</v>
      </c>
      <c r="L162" t="str">
        <f t="shared" si="10"/>
        <v>Llama-3.1-405B-Instruct-Turbo m2</v>
      </c>
      <c r="M162" t="str">
        <f t="shared" si="11"/>
        <v>Llama-3.1-70B-Instruct</v>
      </c>
      <c r="N162">
        <f t="shared" si="12"/>
        <v>0</v>
      </c>
      <c r="O162">
        <f t="shared" si="13"/>
        <v>0</v>
      </c>
      <c r="P162" t="str">
        <f t="shared" si="14"/>
        <v>Llama-3.1-70B-Instruct</v>
      </c>
    </row>
    <row r="163" spans="1:16" x14ac:dyDescent="0.35">
      <c r="A163" t="s">
        <v>74</v>
      </c>
      <c r="B163" t="s">
        <v>64</v>
      </c>
      <c r="C163">
        <v>0.72250274400000003</v>
      </c>
      <c r="D163">
        <v>0.63139407199999997</v>
      </c>
      <c r="E163" s="1">
        <v>2.1499999999999998E-109</v>
      </c>
      <c r="F163" t="s">
        <v>12</v>
      </c>
      <c r="J163" t="s">
        <v>37</v>
      </c>
      <c r="L163" t="str">
        <f t="shared" si="10"/>
        <v>Llama-3.3-70B-Instruct-Turbo m2</v>
      </c>
      <c r="M163" t="str">
        <f t="shared" si="11"/>
        <v>Llama-3.1-70B-Instruct</v>
      </c>
      <c r="N163">
        <f t="shared" si="12"/>
        <v>0</v>
      </c>
      <c r="O163">
        <f t="shared" si="13"/>
        <v>0</v>
      </c>
      <c r="P163" t="str">
        <f t="shared" si="14"/>
        <v>Llama-3.1-70B-Instruct</v>
      </c>
    </row>
    <row r="164" spans="1:16" x14ac:dyDescent="0.35">
      <c r="A164" t="s">
        <v>75</v>
      </c>
      <c r="B164" t="s">
        <v>64</v>
      </c>
      <c r="C164">
        <v>0.693962678</v>
      </c>
      <c r="D164">
        <v>0.67124039499999999</v>
      </c>
      <c r="E164" s="1">
        <v>3.0499999999999998E-10</v>
      </c>
      <c r="F164" t="s">
        <v>12</v>
      </c>
      <c r="J164" t="s">
        <v>49</v>
      </c>
      <c r="L164" t="str">
        <f t="shared" si="10"/>
        <v>Llama-3-70B-Instruct cf</v>
      </c>
      <c r="M164" t="str">
        <f t="shared" si="11"/>
        <v>Llama-3.1-70B-Instruct</v>
      </c>
      <c r="N164">
        <f t="shared" si="12"/>
        <v>0</v>
      </c>
      <c r="O164">
        <f t="shared" si="13"/>
        <v>0</v>
      </c>
      <c r="P164" t="str">
        <f t="shared" si="14"/>
        <v>Llama-3.1-70B-Instruct</v>
      </c>
    </row>
    <row r="165" spans="1:16" x14ac:dyDescent="0.35">
      <c r="A165" t="s">
        <v>76</v>
      </c>
      <c r="B165" t="s">
        <v>64</v>
      </c>
      <c r="C165">
        <v>0.693962678</v>
      </c>
      <c r="D165">
        <v>0.63139407199999997</v>
      </c>
      <c r="E165" s="1">
        <v>3.5699999999999998E-62</v>
      </c>
      <c r="F165" t="s">
        <v>12</v>
      </c>
      <c r="J165" t="s">
        <v>51</v>
      </c>
      <c r="L165" t="str">
        <f t="shared" si="10"/>
        <v>Llama-3.1-70B-Instruct cf</v>
      </c>
      <c r="M165" t="str">
        <f t="shared" si="11"/>
        <v>Llama-3.1-70B-Instruct</v>
      </c>
      <c r="N165">
        <f t="shared" si="12"/>
        <v>0</v>
      </c>
      <c r="O165">
        <f t="shared" si="13"/>
        <v>0</v>
      </c>
      <c r="P165" t="str">
        <f t="shared" si="14"/>
        <v>Llama-3.1-70B-Instruct</v>
      </c>
    </row>
    <row r="166" spans="1:16" x14ac:dyDescent="0.35">
      <c r="A166" t="s">
        <v>77</v>
      </c>
      <c r="B166" t="s">
        <v>64</v>
      </c>
      <c r="C166">
        <v>0.67124039499999999</v>
      </c>
      <c r="D166">
        <v>0.63139407199999997</v>
      </c>
      <c r="E166" s="1">
        <v>2.2E-32</v>
      </c>
      <c r="F166" t="s">
        <v>12</v>
      </c>
      <c r="J166" t="s">
        <v>52</v>
      </c>
      <c r="L166" t="str">
        <f t="shared" si="10"/>
        <v>Llama-3.1-405B-Instruct cf</v>
      </c>
      <c r="M166" t="str">
        <f t="shared" si="11"/>
        <v>Llama-3.1-70B-Instruct</v>
      </c>
      <c r="N166">
        <f t="shared" si="12"/>
        <v>0</v>
      </c>
      <c r="O166">
        <f t="shared" si="13"/>
        <v>0</v>
      </c>
      <c r="P166" t="str">
        <f t="shared" si="14"/>
        <v>Llama-3.1-70B-Instruct</v>
      </c>
    </row>
    <row r="167" spans="1:16" x14ac:dyDescent="0.35">
      <c r="A167" t="s">
        <v>68</v>
      </c>
      <c r="B167" t="s">
        <v>65</v>
      </c>
      <c r="C167">
        <v>0.73984186299999999</v>
      </c>
      <c r="D167">
        <v>0.75455743500000005</v>
      </c>
      <c r="E167" s="1">
        <v>6.58E-10</v>
      </c>
      <c r="F167" t="s">
        <v>12</v>
      </c>
      <c r="J167" t="s">
        <v>53</v>
      </c>
      <c r="L167" t="str">
        <f t="shared" si="10"/>
        <v>Llama-3.3-70B-Instruct cf</v>
      </c>
      <c r="M167" t="str">
        <f t="shared" si="11"/>
        <v>Llama-3.1-405B-Instruct</v>
      </c>
      <c r="N167">
        <f t="shared" si="12"/>
        <v>0</v>
      </c>
      <c r="O167">
        <f t="shared" si="13"/>
        <v>0</v>
      </c>
      <c r="P167" t="str">
        <f t="shared" si="14"/>
        <v>Llama-3.1-405B-Instruct</v>
      </c>
    </row>
    <row r="168" spans="1:16" x14ac:dyDescent="0.35">
      <c r="A168" t="s">
        <v>69</v>
      </c>
      <c r="B168" t="s">
        <v>65</v>
      </c>
      <c r="C168">
        <v>0.73984186299999999</v>
      </c>
      <c r="D168">
        <v>0.72776191499999998</v>
      </c>
      <c r="E168" s="1">
        <v>2.0599999999999999E-5</v>
      </c>
      <c r="F168" t="s">
        <v>12</v>
      </c>
      <c r="J168" t="s">
        <v>85</v>
      </c>
      <c r="L168" t="str">
        <f t="shared" si="10"/>
        <v>q_test_total</v>
      </c>
      <c r="M168" t="str">
        <f t="shared" si="11"/>
        <v>Llama-3.1-405B-Instruct</v>
      </c>
      <c r="N168">
        <f t="shared" si="12"/>
        <v>0</v>
      </c>
      <c r="O168">
        <f t="shared" si="13"/>
        <v>0</v>
      </c>
      <c r="P168" t="str">
        <f t="shared" si="14"/>
        <v>Llama-3.1-405B-Instruct</v>
      </c>
    </row>
    <row r="169" spans="1:16" x14ac:dyDescent="0.35">
      <c r="A169" t="s">
        <v>70</v>
      </c>
      <c r="B169" t="s">
        <v>65</v>
      </c>
      <c r="C169">
        <v>0.73984186299999999</v>
      </c>
      <c r="D169">
        <v>0.69455423800000005</v>
      </c>
      <c r="E169" s="1">
        <v>2.5799999999999998E-37</v>
      </c>
      <c r="F169" t="s">
        <v>12</v>
      </c>
      <c r="J169" t="s">
        <v>63</v>
      </c>
      <c r="L169" t="str">
        <f t="shared" si="10"/>
        <v>Llama-3-70B-Instruct</v>
      </c>
      <c r="M169" t="str">
        <f t="shared" si="11"/>
        <v>Llama-3.1-405B-Instruct</v>
      </c>
      <c r="N169">
        <f t="shared" si="12"/>
        <v>0</v>
      </c>
      <c r="O169">
        <f t="shared" si="13"/>
        <v>0</v>
      </c>
      <c r="P169" t="str">
        <f t="shared" si="14"/>
        <v>Llama-3.1-405B-Instruct</v>
      </c>
    </row>
    <row r="170" spans="1:16" x14ac:dyDescent="0.35">
      <c r="A170" t="s">
        <v>71</v>
      </c>
      <c r="B170" t="s">
        <v>65</v>
      </c>
      <c r="C170">
        <v>0.73984186299999999</v>
      </c>
      <c r="D170">
        <v>0.64236301699999998</v>
      </c>
      <c r="E170" s="1">
        <v>2.8899999999999999E-138</v>
      </c>
      <c r="F170" t="s">
        <v>12</v>
      </c>
      <c r="J170" t="s">
        <v>63</v>
      </c>
      <c r="L170" t="str">
        <f t="shared" si="10"/>
        <v>Llama-3-70B-Instruct</v>
      </c>
      <c r="M170" t="str">
        <f t="shared" si="11"/>
        <v>Llama-3.1-405B-Instruct</v>
      </c>
      <c r="N170">
        <f t="shared" si="12"/>
        <v>0</v>
      </c>
      <c r="O170">
        <f t="shared" si="13"/>
        <v>0</v>
      </c>
      <c r="P170" t="str">
        <f t="shared" si="14"/>
        <v>Llama-3.1-405B-Instruct</v>
      </c>
    </row>
    <row r="171" spans="1:16" x14ac:dyDescent="0.35">
      <c r="A171" t="s">
        <v>72</v>
      </c>
      <c r="B171" t="s">
        <v>65</v>
      </c>
      <c r="C171">
        <v>0.75455743500000005</v>
      </c>
      <c r="D171">
        <v>0.72776191499999998</v>
      </c>
      <c r="E171" s="1">
        <v>1.15E-26</v>
      </c>
      <c r="F171" t="s">
        <v>12</v>
      </c>
      <c r="J171" t="s">
        <v>63</v>
      </c>
      <c r="L171" t="str">
        <f t="shared" si="10"/>
        <v>Llama-3-70B-Instruct</v>
      </c>
      <c r="M171" t="str">
        <f t="shared" si="11"/>
        <v>Llama-3.1-405B-Instruct</v>
      </c>
      <c r="N171">
        <f t="shared" si="12"/>
        <v>0</v>
      </c>
      <c r="O171">
        <f t="shared" si="13"/>
        <v>0</v>
      </c>
      <c r="P171" t="str">
        <f t="shared" si="14"/>
        <v>Llama-3.1-405B-Instruct</v>
      </c>
    </row>
    <row r="172" spans="1:16" x14ac:dyDescent="0.35">
      <c r="A172" t="s">
        <v>73</v>
      </c>
      <c r="B172" t="s">
        <v>65</v>
      </c>
      <c r="C172">
        <v>0.75455743500000005</v>
      </c>
      <c r="D172">
        <v>0.69455423800000005</v>
      </c>
      <c r="E172" s="1">
        <v>1.28E-62</v>
      </c>
      <c r="F172" t="s">
        <v>12</v>
      </c>
      <c r="J172" t="s">
        <v>63</v>
      </c>
      <c r="L172" t="str">
        <f t="shared" si="10"/>
        <v>Llama-3-70B-Instruct</v>
      </c>
      <c r="M172" t="str">
        <f t="shared" si="11"/>
        <v>Llama-3.1-405B-Instruct</v>
      </c>
      <c r="N172">
        <f t="shared" si="12"/>
        <v>0</v>
      </c>
      <c r="O172">
        <f t="shared" si="13"/>
        <v>0</v>
      </c>
      <c r="P172" t="str">
        <f t="shared" si="14"/>
        <v>Llama-3.1-405B-Instruct</v>
      </c>
    </row>
    <row r="173" spans="1:16" x14ac:dyDescent="0.35">
      <c r="A173" t="s">
        <v>74</v>
      </c>
      <c r="B173" t="s">
        <v>65</v>
      </c>
      <c r="C173">
        <v>0.75455743500000005</v>
      </c>
      <c r="D173">
        <v>0.64236301699999998</v>
      </c>
      <c r="E173">
        <v>3.4099999999999997E-179</v>
      </c>
      <c r="F173" t="s">
        <v>12</v>
      </c>
      <c r="J173" t="s">
        <v>63</v>
      </c>
      <c r="L173" t="str">
        <f t="shared" si="10"/>
        <v>Llama-3-70B-Instruct</v>
      </c>
      <c r="M173" t="str">
        <f t="shared" si="11"/>
        <v>Llama-3.1-405B-Instruct</v>
      </c>
      <c r="N173">
        <f t="shared" si="12"/>
        <v>0</v>
      </c>
      <c r="O173">
        <f t="shared" si="13"/>
        <v>0</v>
      </c>
      <c r="P173" t="str">
        <f t="shared" si="14"/>
        <v>Llama-3.1-405B-Instruct</v>
      </c>
    </row>
    <row r="174" spans="1:16" x14ac:dyDescent="0.35">
      <c r="A174" t="s">
        <v>75</v>
      </c>
      <c r="B174" t="s">
        <v>65</v>
      </c>
      <c r="C174">
        <v>0.72776191499999998</v>
      </c>
      <c r="D174">
        <v>0.69455423800000005</v>
      </c>
      <c r="E174">
        <v>2.4E-22</v>
      </c>
      <c r="F174" t="s">
        <v>12</v>
      </c>
      <c r="J174" t="s">
        <v>63</v>
      </c>
      <c r="L174" t="str">
        <f t="shared" si="10"/>
        <v>Llama-3-70B-Instruct</v>
      </c>
      <c r="M174" t="str">
        <f t="shared" si="11"/>
        <v>Llama-3.1-405B-Instruct</v>
      </c>
      <c r="N174">
        <f t="shared" si="12"/>
        <v>0</v>
      </c>
      <c r="O174">
        <f t="shared" si="13"/>
        <v>0</v>
      </c>
      <c r="P174" t="str">
        <f t="shared" si="14"/>
        <v>Llama-3.1-405B-Instruct</v>
      </c>
    </row>
    <row r="175" spans="1:16" x14ac:dyDescent="0.35">
      <c r="A175" t="s">
        <v>76</v>
      </c>
      <c r="B175" t="s">
        <v>65</v>
      </c>
      <c r="C175">
        <v>0.72776191499999998</v>
      </c>
      <c r="D175">
        <v>0.64236301699999998</v>
      </c>
      <c r="E175" s="1">
        <v>9.3599999999999993E-118</v>
      </c>
      <c r="F175" t="s">
        <v>12</v>
      </c>
      <c r="J175" t="s">
        <v>63</v>
      </c>
      <c r="L175" t="str">
        <f t="shared" si="10"/>
        <v>Llama-3-70B-Instruct</v>
      </c>
      <c r="M175" t="str">
        <f t="shared" si="11"/>
        <v>Llama-3.1-405B-Instruct</v>
      </c>
      <c r="N175">
        <f t="shared" si="12"/>
        <v>0</v>
      </c>
      <c r="O175">
        <f t="shared" si="13"/>
        <v>0</v>
      </c>
      <c r="P175" t="str">
        <f t="shared" si="14"/>
        <v>Llama-3.1-405B-Instruct</v>
      </c>
    </row>
    <row r="176" spans="1:16" x14ac:dyDescent="0.35">
      <c r="A176" t="s">
        <v>77</v>
      </c>
      <c r="B176" t="s">
        <v>65</v>
      </c>
      <c r="C176">
        <v>0.69455423800000005</v>
      </c>
      <c r="D176">
        <v>0.64236301699999998</v>
      </c>
      <c r="E176" s="1">
        <v>6.2500000000000002E-64</v>
      </c>
      <c r="F176" t="s">
        <v>12</v>
      </c>
      <c r="J176" t="s">
        <v>63</v>
      </c>
      <c r="L176" t="str">
        <f t="shared" si="10"/>
        <v>Llama-3-70B-Instruct</v>
      </c>
      <c r="M176" t="str">
        <f t="shared" si="11"/>
        <v>Llama-3.1-405B-Instruct</v>
      </c>
      <c r="N176">
        <f t="shared" si="12"/>
        <v>0</v>
      </c>
      <c r="O176">
        <f t="shared" si="13"/>
        <v>0</v>
      </c>
      <c r="P176" t="str">
        <f t="shared" si="14"/>
        <v>Llama-3.1-405B-Instruct</v>
      </c>
    </row>
    <row r="177" spans="1:16" x14ac:dyDescent="0.35">
      <c r="A177" t="s">
        <v>68</v>
      </c>
      <c r="B177" t="s">
        <v>66</v>
      </c>
      <c r="C177">
        <v>0.70274423699999999</v>
      </c>
      <c r="D177">
        <v>0.713611416</v>
      </c>
      <c r="E177" s="1">
        <v>1.4749399999999999E-4</v>
      </c>
      <c r="F177" t="s">
        <v>12</v>
      </c>
      <c r="J177" t="s">
        <v>63</v>
      </c>
      <c r="L177" t="str">
        <f t="shared" si="10"/>
        <v>Llama-3-70B-Instruct</v>
      </c>
      <c r="M177" t="str">
        <f t="shared" si="11"/>
        <v>Llama-3.3-70B-Instruct</v>
      </c>
      <c r="N177">
        <f t="shared" si="12"/>
        <v>0</v>
      </c>
      <c r="O177">
        <f t="shared" si="13"/>
        <v>0</v>
      </c>
      <c r="P177" t="str">
        <f t="shared" si="14"/>
        <v>Llama-3.3-70B-Instruct</v>
      </c>
    </row>
    <row r="178" spans="1:16" x14ac:dyDescent="0.35">
      <c r="A178" t="s">
        <v>69</v>
      </c>
      <c r="B178" t="s">
        <v>66</v>
      </c>
      <c r="C178">
        <v>0.70274423699999999</v>
      </c>
      <c r="D178">
        <v>0.70098792499999996</v>
      </c>
      <c r="E178" s="1">
        <v>0.60522836999999996</v>
      </c>
      <c r="F178" t="s">
        <v>12</v>
      </c>
      <c r="J178" t="s">
        <v>63</v>
      </c>
      <c r="L178" t="str">
        <f t="shared" si="10"/>
        <v>Llama-3-70B-Instruct</v>
      </c>
      <c r="M178" t="str">
        <f t="shared" si="11"/>
        <v>Llama-3.3-70B-Instruct</v>
      </c>
      <c r="N178">
        <f t="shared" si="12"/>
        <v>0</v>
      </c>
      <c r="O178">
        <f t="shared" si="13"/>
        <v>0</v>
      </c>
      <c r="P178" t="str">
        <f t="shared" si="14"/>
        <v>Llama-3.3-70B-Instruct</v>
      </c>
    </row>
    <row r="179" spans="1:16" x14ac:dyDescent="0.35">
      <c r="A179" t="s">
        <v>70</v>
      </c>
      <c r="B179" t="s">
        <v>66</v>
      </c>
      <c r="C179">
        <v>0.70274423699999999</v>
      </c>
      <c r="D179">
        <v>0.66575192100000002</v>
      </c>
      <c r="E179" s="1">
        <v>2.7300000000000001E-21</v>
      </c>
      <c r="F179" t="s">
        <v>12</v>
      </c>
      <c r="J179" t="s">
        <v>64</v>
      </c>
      <c r="L179" t="str">
        <f t="shared" si="10"/>
        <v>Llama-3.1-70B-Instruct</v>
      </c>
      <c r="M179" t="str">
        <f t="shared" si="11"/>
        <v>Llama-3.3-70B-Instruct</v>
      </c>
      <c r="N179">
        <f t="shared" si="12"/>
        <v>0</v>
      </c>
      <c r="O179">
        <f t="shared" si="13"/>
        <v>0</v>
      </c>
      <c r="P179" t="str">
        <f t="shared" si="14"/>
        <v>Llama-3.3-70B-Instruct</v>
      </c>
    </row>
    <row r="180" spans="1:16" x14ac:dyDescent="0.35">
      <c r="A180" t="s">
        <v>71</v>
      </c>
      <c r="B180" t="s">
        <v>66</v>
      </c>
      <c r="C180">
        <v>0.70274423699999999</v>
      </c>
      <c r="D180">
        <v>0.626454446</v>
      </c>
      <c r="E180" s="1">
        <v>3.8200000000000001E-80</v>
      </c>
      <c r="F180" t="s">
        <v>12</v>
      </c>
      <c r="J180" t="s">
        <v>64</v>
      </c>
      <c r="L180" t="str">
        <f t="shared" si="10"/>
        <v>Llama-3.1-70B-Instruct</v>
      </c>
      <c r="M180" t="str">
        <f t="shared" si="11"/>
        <v>Llama-3.3-70B-Instruct</v>
      </c>
      <c r="N180">
        <f t="shared" si="12"/>
        <v>0</v>
      </c>
      <c r="O180">
        <f t="shared" si="13"/>
        <v>0</v>
      </c>
      <c r="P180" t="str">
        <f t="shared" si="14"/>
        <v>Llama-3.3-70B-Instruct</v>
      </c>
    </row>
    <row r="181" spans="1:16" x14ac:dyDescent="0.35">
      <c r="A181" t="s">
        <v>72</v>
      </c>
      <c r="B181" t="s">
        <v>66</v>
      </c>
      <c r="C181">
        <v>0.713611416</v>
      </c>
      <c r="D181">
        <v>0.70098792499999996</v>
      </c>
      <c r="E181" s="1">
        <v>7.9400000000000006E-5</v>
      </c>
      <c r="F181" t="s">
        <v>12</v>
      </c>
      <c r="J181" t="s">
        <v>64</v>
      </c>
      <c r="L181" t="str">
        <f t="shared" si="10"/>
        <v>Llama-3.1-70B-Instruct</v>
      </c>
      <c r="M181" t="str">
        <f t="shared" si="11"/>
        <v>Llama-3.3-70B-Instruct</v>
      </c>
      <c r="N181">
        <f t="shared" si="12"/>
        <v>0</v>
      </c>
      <c r="O181">
        <f t="shared" si="13"/>
        <v>0</v>
      </c>
      <c r="P181" t="str">
        <f t="shared" si="14"/>
        <v>Llama-3.3-70B-Instruct</v>
      </c>
    </row>
    <row r="182" spans="1:16" x14ac:dyDescent="0.35">
      <c r="A182" t="s">
        <v>73</v>
      </c>
      <c r="B182" t="s">
        <v>66</v>
      </c>
      <c r="C182">
        <v>0.713611416</v>
      </c>
      <c r="D182">
        <v>0.66575192100000002</v>
      </c>
      <c r="E182" s="1">
        <v>3.5399999999999998E-33</v>
      </c>
      <c r="F182" t="s">
        <v>12</v>
      </c>
      <c r="J182" t="s">
        <v>64</v>
      </c>
      <c r="L182" t="str">
        <f t="shared" si="10"/>
        <v>Llama-3.1-70B-Instruct</v>
      </c>
      <c r="M182" t="str">
        <f t="shared" si="11"/>
        <v>Llama-3.3-70B-Instruct</v>
      </c>
      <c r="N182">
        <f t="shared" si="12"/>
        <v>0</v>
      </c>
      <c r="O182">
        <f t="shared" si="13"/>
        <v>0</v>
      </c>
      <c r="P182" t="str">
        <f t="shared" si="14"/>
        <v>Llama-3.3-70B-Instruct</v>
      </c>
    </row>
    <row r="183" spans="1:16" x14ac:dyDescent="0.35">
      <c r="A183" t="s">
        <v>74</v>
      </c>
      <c r="B183" t="s">
        <v>66</v>
      </c>
      <c r="C183">
        <v>0.713611416</v>
      </c>
      <c r="D183">
        <v>0.626454446</v>
      </c>
      <c r="E183" s="1">
        <v>2.1099999999999999E-98</v>
      </c>
      <c r="F183" t="s">
        <v>12</v>
      </c>
      <c r="J183" t="s">
        <v>64</v>
      </c>
      <c r="L183" t="str">
        <f t="shared" si="10"/>
        <v>Llama-3.1-70B-Instruct</v>
      </c>
      <c r="M183" t="str">
        <f t="shared" si="11"/>
        <v>Llama-3.3-70B-Instruct</v>
      </c>
      <c r="N183">
        <f t="shared" si="12"/>
        <v>0</v>
      </c>
      <c r="O183">
        <f t="shared" si="13"/>
        <v>0</v>
      </c>
      <c r="P183" t="str">
        <f t="shared" si="14"/>
        <v>Llama-3.3-70B-Instruct</v>
      </c>
    </row>
    <row r="184" spans="1:16" x14ac:dyDescent="0.35">
      <c r="A184" t="s">
        <v>75</v>
      </c>
      <c r="B184" t="s">
        <v>66</v>
      </c>
      <c r="C184">
        <v>0.70098792499999996</v>
      </c>
      <c r="D184">
        <v>0.66575192100000002</v>
      </c>
      <c r="E184" s="1">
        <v>9.7200000000000002E-22</v>
      </c>
      <c r="F184" t="s">
        <v>12</v>
      </c>
      <c r="J184" t="s">
        <v>64</v>
      </c>
      <c r="L184" t="str">
        <f t="shared" si="10"/>
        <v>Llama-3.1-70B-Instruct</v>
      </c>
      <c r="M184" t="str">
        <f t="shared" si="11"/>
        <v>Llama-3.3-70B-Instruct</v>
      </c>
      <c r="N184">
        <f t="shared" si="12"/>
        <v>0</v>
      </c>
      <c r="O184">
        <f t="shared" si="13"/>
        <v>0</v>
      </c>
      <c r="P184" t="str">
        <f t="shared" si="14"/>
        <v>Llama-3.3-70B-Instruct</v>
      </c>
    </row>
    <row r="185" spans="1:16" x14ac:dyDescent="0.35">
      <c r="A185" t="s">
        <v>76</v>
      </c>
      <c r="B185" t="s">
        <v>66</v>
      </c>
      <c r="C185">
        <v>0.70098792499999996</v>
      </c>
      <c r="D185">
        <v>0.626454446</v>
      </c>
      <c r="E185" s="1">
        <v>5.2899999999999904E-84</v>
      </c>
      <c r="F185" t="s">
        <v>12</v>
      </c>
      <c r="J185" t="s">
        <v>64</v>
      </c>
      <c r="L185" t="str">
        <f t="shared" si="10"/>
        <v>Llama-3.1-70B-Instruct</v>
      </c>
      <c r="M185" t="str">
        <f t="shared" si="11"/>
        <v>Llama-3.3-70B-Instruct</v>
      </c>
      <c r="N185">
        <f t="shared" si="12"/>
        <v>0</v>
      </c>
      <c r="O185">
        <f t="shared" si="13"/>
        <v>0</v>
      </c>
      <c r="P185" t="str">
        <f t="shared" si="14"/>
        <v>Llama-3.3-70B-Instruct</v>
      </c>
    </row>
    <row r="186" spans="1:16" x14ac:dyDescent="0.35">
      <c r="A186" t="s">
        <v>77</v>
      </c>
      <c r="B186" t="s">
        <v>66</v>
      </c>
      <c r="C186">
        <v>0.66575192100000002</v>
      </c>
      <c r="D186">
        <v>0.626454446</v>
      </c>
      <c r="E186" s="1">
        <v>9.6699999999999992E-34</v>
      </c>
      <c r="F186" t="s">
        <v>12</v>
      </c>
      <c r="J186" t="s">
        <v>64</v>
      </c>
      <c r="L186" t="str">
        <f t="shared" si="10"/>
        <v>Llama-3.1-70B-Instruct</v>
      </c>
      <c r="M186" t="str">
        <f t="shared" si="11"/>
        <v>Llama-3.3-70B-Instruct</v>
      </c>
      <c r="N186">
        <f t="shared" si="12"/>
        <v>0</v>
      </c>
      <c r="O186">
        <f t="shared" si="13"/>
        <v>0</v>
      </c>
      <c r="P186" t="str">
        <f t="shared" si="14"/>
        <v>Llama-3.3-70B-Instruct</v>
      </c>
    </row>
    <row r="187" spans="1:16" x14ac:dyDescent="0.35">
      <c r="A187" t="s">
        <v>78</v>
      </c>
      <c r="B187" t="s">
        <v>63</v>
      </c>
      <c r="C187">
        <v>0.70431759999999999</v>
      </c>
      <c r="D187">
        <v>0.65285400699999996</v>
      </c>
      <c r="E187">
        <v>2.8799999999999999E-31</v>
      </c>
      <c r="F187" t="s">
        <v>20</v>
      </c>
      <c r="G187">
        <v>8</v>
      </c>
      <c r="J187" t="s">
        <v>64</v>
      </c>
      <c r="L187" t="str">
        <f t="shared" si="10"/>
        <v>Llama-3.1-70B-Instruct</v>
      </c>
      <c r="M187" t="str">
        <f t="shared" si="11"/>
        <v>8Llama-3-70B-Instruct</v>
      </c>
      <c r="N187">
        <f t="shared" si="12"/>
        <v>2.8799999999999999E-31</v>
      </c>
      <c r="O187">
        <f t="shared" si="13"/>
        <v>8</v>
      </c>
      <c r="P187" t="str">
        <f t="shared" si="14"/>
        <v>Llama-3-70B-Instruct</v>
      </c>
    </row>
    <row r="188" spans="1:16" x14ac:dyDescent="0.35">
      <c r="A188" t="s">
        <v>78</v>
      </c>
      <c r="B188" t="s">
        <v>64</v>
      </c>
      <c r="C188">
        <v>0.70596414200000002</v>
      </c>
      <c r="D188">
        <v>0.65131723399999997</v>
      </c>
      <c r="E188">
        <v>5.0700000000000002E-35</v>
      </c>
      <c r="F188" t="s">
        <v>20</v>
      </c>
      <c r="G188">
        <v>8</v>
      </c>
      <c r="J188" t="s">
        <v>64</v>
      </c>
      <c r="L188" t="str">
        <f t="shared" si="10"/>
        <v>Llama-3.1-70B-Instruct</v>
      </c>
      <c r="M188" t="str">
        <f t="shared" si="11"/>
        <v>8Llama-3.1-70B-Instruct</v>
      </c>
      <c r="N188">
        <f t="shared" si="12"/>
        <v>6.7599999999999996E-35</v>
      </c>
      <c r="O188">
        <f t="shared" si="13"/>
        <v>8</v>
      </c>
      <c r="P188" t="str">
        <f t="shared" si="14"/>
        <v>Llama-3.1-70B-Instruct</v>
      </c>
    </row>
    <row r="189" spans="1:16" x14ac:dyDescent="0.35">
      <c r="A189" t="s">
        <v>78</v>
      </c>
      <c r="B189" t="s">
        <v>65</v>
      </c>
      <c r="C189">
        <v>0.74072040400000005</v>
      </c>
      <c r="D189">
        <v>0.66846006000000002</v>
      </c>
      <c r="E189">
        <v>9.4000000000000001E-63</v>
      </c>
      <c r="F189" t="s">
        <v>20</v>
      </c>
      <c r="G189">
        <v>8</v>
      </c>
      <c r="J189" t="s">
        <v>65</v>
      </c>
      <c r="L189" t="str">
        <f t="shared" si="10"/>
        <v>Llama-3.1-405B-Instruct</v>
      </c>
      <c r="M189" t="str">
        <f t="shared" si="11"/>
        <v>8Llama-3.1-405B-Instruct</v>
      </c>
      <c r="N189">
        <f t="shared" si="12"/>
        <v>3.76E-62</v>
      </c>
      <c r="O189">
        <f t="shared" si="13"/>
        <v>8</v>
      </c>
      <c r="P189" t="str">
        <f t="shared" si="14"/>
        <v>Llama-3.1-405B-Instruct</v>
      </c>
    </row>
    <row r="190" spans="1:16" x14ac:dyDescent="0.35">
      <c r="A190" t="s">
        <v>78</v>
      </c>
      <c r="B190" t="s">
        <v>66</v>
      </c>
      <c r="C190">
        <v>0.70578119299999997</v>
      </c>
      <c r="D190">
        <v>0.64610318300000003</v>
      </c>
      <c r="E190">
        <v>3.1200000000000001E-41</v>
      </c>
      <c r="F190" t="s">
        <v>20</v>
      </c>
      <c r="G190">
        <v>8</v>
      </c>
      <c r="J190" t="s">
        <v>65</v>
      </c>
      <c r="L190" t="str">
        <f t="shared" si="10"/>
        <v>Llama-3.1-405B-Instruct</v>
      </c>
      <c r="M190" t="str">
        <f t="shared" si="11"/>
        <v>8Llama-3.3-70B-Instruct</v>
      </c>
      <c r="N190">
        <f t="shared" si="12"/>
        <v>6.2400000000000003E-41</v>
      </c>
      <c r="O190">
        <f t="shared" si="13"/>
        <v>8</v>
      </c>
      <c r="P190" t="str">
        <f t="shared" si="14"/>
        <v>Llama-3.3-70B-Instruct</v>
      </c>
    </row>
    <row r="191" spans="1:16" x14ac:dyDescent="0.35">
      <c r="A191" t="s">
        <v>79</v>
      </c>
      <c r="B191" t="s">
        <v>86</v>
      </c>
      <c r="C191">
        <v>0.904255319</v>
      </c>
      <c r="D191">
        <v>0.92553191499999998</v>
      </c>
      <c r="E191">
        <v>0.30057803</v>
      </c>
      <c r="F191" t="s">
        <v>20</v>
      </c>
      <c r="G191">
        <v>6</v>
      </c>
      <c r="J191" t="s">
        <v>65</v>
      </c>
      <c r="L191" t="str">
        <f t="shared" si="10"/>
        <v>Llama-3.1-405B-Instruct</v>
      </c>
      <c r="M191" t="str">
        <f t="shared" si="11"/>
        <v>6human1</v>
      </c>
      <c r="N191">
        <f t="shared" si="12"/>
        <v>0.33580326300000002</v>
      </c>
      <c r="O191">
        <f t="shared" si="13"/>
        <v>6</v>
      </c>
      <c r="P191" t="str">
        <f t="shared" si="14"/>
        <v>human1</v>
      </c>
    </row>
    <row r="192" spans="1:16" x14ac:dyDescent="0.35">
      <c r="A192" t="s">
        <v>80</v>
      </c>
      <c r="B192" t="s">
        <v>87</v>
      </c>
      <c r="C192">
        <v>0.904255319</v>
      </c>
      <c r="D192">
        <v>0.97222222199999997</v>
      </c>
      <c r="E192" s="1">
        <v>4.0518989999999998E-2</v>
      </c>
      <c r="F192" t="s">
        <v>20</v>
      </c>
      <c r="G192">
        <v>6</v>
      </c>
      <c r="J192" t="s">
        <v>65</v>
      </c>
      <c r="L192" t="str">
        <f t="shared" si="10"/>
        <v>Llama-3.1-405B-Instruct</v>
      </c>
      <c r="M192" t="str">
        <f t="shared" si="11"/>
        <v>6human2</v>
      </c>
      <c r="N192">
        <f t="shared" si="12"/>
        <v>0.16207595999999999</v>
      </c>
      <c r="O192">
        <f t="shared" si="13"/>
        <v>6</v>
      </c>
      <c r="P192" t="str">
        <f t="shared" si="14"/>
        <v>human2</v>
      </c>
    </row>
    <row r="193" spans="1:16" x14ac:dyDescent="0.35">
      <c r="A193" t="s">
        <v>81</v>
      </c>
      <c r="B193" t="s">
        <v>88</v>
      </c>
      <c r="C193">
        <v>0.97222222199999997</v>
      </c>
      <c r="D193">
        <v>0.95945945899999996</v>
      </c>
      <c r="E193" s="1">
        <v>0.33580326300000002</v>
      </c>
      <c r="F193" t="s">
        <v>20</v>
      </c>
      <c r="G193">
        <v>6</v>
      </c>
      <c r="J193" t="s">
        <v>65</v>
      </c>
      <c r="L193" t="str">
        <f t="shared" si="10"/>
        <v>Llama-3.1-405B-Instruct</v>
      </c>
      <c r="M193" t="str">
        <f t="shared" si="11"/>
        <v>6human3</v>
      </c>
      <c r="N193">
        <f t="shared" si="12"/>
        <v>0.33580326300000002</v>
      </c>
      <c r="O193">
        <f t="shared" si="13"/>
        <v>6</v>
      </c>
      <c r="P193" t="str">
        <f t="shared" si="14"/>
        <v>human3</v>
      </c>
    </row>
    <row r="194" spans="1:16" x14ac:dyDescent="0.35">
      <c r="A194" t="s">
        <v>82</v>
      </c>
      <c r="B194" t="s">
        <v>89</v>
      </c>
      <c r="C194">
        <v>0.92553191499999998</v>
      </c>
      <c r="D194">
        <v>0.95945945899999996</v>
      </c>
      <c r="E194">
        <v>0.17808300499999999</v>
      </c>
      <c r="F194" t="s">
        <v>20</v>
      </c>
      <c r="G194">
        <v>6</v>
      </c>
      <c r="J194" t="s">
        <v>65</v>
      </c>
      <c r="L194" t="str">
        <f t="shared" si="10"/>
        <v>Llama-3.1-405B-Instruct</v>
      </c>
      <c r="M194" t="str">
        <f t="shared" si="11"/>
        <v>6human4</v>
      </c>
      <c r="N194">
        <f t="shared" si="12"/>
        <v>0.33580326300000002</v>
      </c>
      <c r="O194">
        <f t="shared" si="13"/>
        <v>6</v>
      </c>
      <c r="P194" t="str">
        <f t="shared" si="14"/>
        <v>human4</v>
      </c>
    </row>
    <row r="195" spans="1:16" x14ac:dyDescent="0.35">
      <c r="A195" t="s">
        <v>83</v>
      </c>
      <c r="B195" t="s">
        <v>19</v>
      </c>
      <c r="C195">
        <v>0.58704453400000001</v>
      </c>
      <c r="D195">
        <v>0.50256410299999998</v>
      </c>
      <c r="E195" s="1">
        <v>0.15051806400000001</v>
      </c>
      <c r="F195" t="s">
        <v>12</v>
      </c>
      <c r="G195" t="s">
        <v>50</v>
      </c>
      <c r="J195" t="s">
        <v>65</v>
      </c>
      <c r="L195" t="str">
        <f t="shared" ref="L195:L218" si="15">I195&amp;J195</f>
        <v>Llama-3.1-405B-Instruct</v>
      </c>
      <c r="M195" t="str">
        <f t="shared" ref="M195:M218" si="16">G195&amp;B195</f>
        <v>7mglove add_lem</v>
      </c>
      <c r="N195">
        <f t="shared" ref="N195:N218" si="17">INDEX(H:H,MATCH(M195,L:L,0))</f>
        <v>0.15051806400000001</v>
      </c>
      <c r="O195" t="str">
        <f t="shared" ref="O195:O218" si="18">_xlfn.IFNA(INDEX(I:I,MATCH(M195,L:L,0)),"")</f>
        <v>7m</v>
      </c>
      <c r="P195" t="str">
        <f t="shared" ref="P195:P218" si="19">INDEX(J:J,MATCH(M195,L:L,0))</f>
        <v>glove add_lem</v>
      </c>
    </row>
    <row r="196" spans="1:16" x14ac:dyDescent="0.35">
      <c r="A196" t="s">
        <v>83</v>
      </c>
      <c r="B196" t="s">
        <v>23</v>
      </c>
      <c r="C196">
        <v>0.875</v>
      </c>
      <c r="D196">
        <v>0.515625</v>
      </c>
      <c r="E196">
        <v>1.16E-18</v>
      </c>
      <c r="F196" t="s">
        <v>12</v>
      </c>
      <c r="G196" t="s">
        <v>50</v>
      </c>
      <c r="J196" t="s">
        <v>65</v>
      </c>
      <c r="L196" t="str">
        <f t="shared" si="15"/>
        <v>Llama-3.1-405B-Instruct</v>
      </c>
      <c r="M196" t="str">
        <f t="shared" si="16"/>
        <v>7msbert2_long</v>
      </c>
      <c r="N196">
        <f t="shared" si="17"/>
        <v>6.9599999999999999E-18</v>
      </c>
      <c r="O196" t="str">
        <f t="shared" si="18"/>
        <v>7m</v>
      </c>
      <c r="P196" t="str">
        <f t="shared" si="19"/>
        <v>sbert2_long</v>
      </c>
    </row>
    <row r="197" spans="1:16" x14ac:dyDescent="0.35">
      <c r="A197" t="s">
        <v>83</v>
      </c>
      <c r="B197" t="s">
        <v>25</v>
      </c>
      <c r="C197">
        <v>0.7265625</v>
      </c>
      <c r="D197">
        <v>0.5546875</v>
      </c>
      <c r="E197" s="1">
        <v>4.9400000000000001E-6</v>
      </c>
      <c r="F197" t="s">
        <v>12</v>
      </c>
      <c r="J197" t="s">
        <v>65</v>
      </c>
      <c r="L197" t="str">
        <f t="shared" si="15"/>
        <v>Llama-3.1-405B-Instruct</v>
      </c>
      <c r="M197" t="str">
        <f t="shared" si="16"/>
        <v>GPT-Neo-1.3B m2</v>
      </c>
      <c r="N197">
        <f t="shared" si="17"/>
        <v>0</v>
      </c>
      <c r="O197">
        <f t="shared" si="18"/>
        <v>0</v>
      </c>
      <c r="P197" t="str">
        <f t="shared" si="19"/>
        <v>GPT-Neo-1.3B m2</v>
      </c>
    </row>
    <row r="198" spans="1:16" x14ac:dyDescent="0.35">
      <c r="A198" t="s">
        <v>83</v>
      </c>
      <c r="B198" t="s">
        <v>26</v>
      </c>
      <c r="C198">
        <v>0.703125</v>
      </c>
      <c r="D198">
        <v>0.6328125</v>
      </c>
      <c r="E198" s="1">
        <v>3.8460053000000001E-2</v>
      </c>
      <c r="F198" t="s">
        <v>12</v>
      </c>
      <c r="J198" t="s">
        <v>65</v>
      </c>
      <c r="L198" t="str">
        <f t="shared" si="15"/>
        <v>Llama-3.1-405B-Instruct</v>
      </c>
      <c r="M198" t="str">
        <f t="shared" si="16"/>
        <v>Llama2-7B m2</v>
      </c>
      <c r="N198">
        <f t="shared" si="17"/>
        <v>0</v>
      </c>
      <c r="O198">
        <f t="shared" si="18"/>
        <v>0</v>
      </c>
      <c r="P198" t="str">
        <f t="shared" si="19"/>
        <v>Llama2-7B m2</v>
      </c>
    </row>
    <row r="199" spans="1:16" x14ac:dyDescent="0.35">
      <c r="A199" t="s">
        <v>83</v>
      </c>
      <c r="B199" t="s">
        <v>27</v>
      </c>
      <c r="C199">
        <v>0.78515625</v>
      </c>
      <c r="D199">
        <v>0.640625</v>
      </c>
      <c r="E199">
        <v>1.6900000000000001E-5</v>
      </c>
      <c r="F199" t="s">
        <v>12</v>
      </c>
      <c r="J199" t="s">
        <v>66</v>
      </c>
      <c r="L199" t="str">
        <f t="shared" si="15"/>
        <v>Llama-3.3-70B-Instruct</v>
      </c>
      <c r="M199" t="str">
        <f t="shared" si="16"/>
        <v>Llama2-13B m2</v>
      </c>
      <c r="N199">
        <f t="shared" si="17"/>
        <v>0</v>
      </c>
      <c r="O199">
        <f t="shared" si="18"/>
        <v>0</v>
      </c>
      <c r="P199" t="str">
        <f t="shared" si="19"/>
        <v>Llama2-13B m2</v>
      </c>
    </row>
    <row r="200" spans="1:16" x14ac:dyDescent="0.35">
      <c r="A200" t="s">
        <v>83</v>
      </c>
      <c r="B200" t="s">
        <v>28</v>
      </c>
      <c r="C200">
        <v>0.796875</v>
      </c>
      <c r="D200">
        <v>0.6796875</v>
      </c>
      <c r="E200">
        <v>1.3451399999999999E-4</v>
      </c>
      <c r="F200" t="s">
        <v>12</v>
      </c>
      <c r="J200" t="s">
        <v>66</v>
      </c>
      <c r="L200" t="str">
        <f t="shared" si="15"/>
        <v>Llama-3.3-70B-Instruct</v>
      </c>
      <c r="M200" t="str">
        <f t="shared" si="16"/>
        <v>Llama2-70B m2</v>
      </c>
      <c r="N200">
        <f t="shared" si="17"/>
        <v>0</v>
      </c>
      <c r="O200">
        <f t="shared" si="18"/>
        <v>0</v>
      </c>
      <c r="P200" t="str">
        <f t="shared" si="19"/>
        <v>Llama2-70B m2</v>
      </c>
    </row>
    <row r="201" spans="1:16" x14ac:dyDescent="0.35">
      <c r="A201" t="s">
        <v>83</v>
      </c>
      <c r="B201" t="s">
        <v>29</v>
      </c>
      <c r="C201">
        <v>0.8515625</v>
      </c>
      <c r="D201">
        <v>0.68359375</v>
      </c>
      <c r="E201">
        <v>8.9100000000000002E-7</v>
      </c>
      <c r="F201" t="s">
        <v>12</v>
      </c>
      <c r="J201" t="s">
        <v>66</v>
      </c>
      <c r="L201" t="str">
        <f t="shared" si="15"/>
        <v>Llama-3.3-70B-Instruct</v>
      </c>
      <c r="M201" t="str">
        <f t="shared" si="16"/>
        <v>Llama2-7B-chat m2</v>
      </c>
      <c r="N201">
        <f t="shared" si="17"/>
        <v>0</v>
      </c>
      <c r="O201">
        <f t="shared" si="18"/>
        <v>0</v>
      </c>
      <c r="P201" t="str">
        <f t="shared" si="19"/>
        <v>Llama2-7B-chat m2</v>
      </c>
    </row>
    <row r="202" spans="1:16" x14ac:dyDescent="0.35">
      <c r="A202" t="s">
        <v>83</v>
      </c>
      <c r="B202" t="s">
        <v>30</v>
      </c>
      <c r="C202">
        <v>0.85546875</v>
      </c>
      <c r="D202">
        <v>0.6875</v>
      </c>
      <c r="E202">
        <v>1.68E-7</v>
      </c>
      <c r="F202" t="s">
        <v>12</v>
      </c>
      <c r="J202" t="s">
        <v>66</v>
      </c>
      <c r="L202" t="str">
        <f t="shared" si="15"/>
        <v>Llama-3.3-70B-Instruct</v>
      </c>
      <c r="M202" t="str">
        <f t="shared" si="16"/>
        <v>Llama2-13B-chat m2</v>
      </c>
      <c r="N202">
        <f t="shared" si="17"/>
        <v>0</v>
      </c>
      <c r="O202">
        <f t="shared" si="18"/>
        <v>0</v>
      </c>
      <c r="P202" t="str">
        <f t="shared" si="19"/>
        <v>Llama2-13B-chat m2</v>
      </c>
    </row>
    <row r="203" spans="1:16" x14ac:dyDescent="0.35">
      <c r="A203" t="s">
        <v>83</v>
      </c>
      <c r="B203" t="s">
        <v>32</v>
      </c>
      <c r="C203">
        <v>0.75390625</v>
      </c>
      <c r="D203">
        <v>0.66015625</v>
      </c>
      <c r="E203" s="1">
        <v>7.0842530000000004E-3</v>
      </c>
      <c r="F203" t="s">
        <v>12</v>
      </c>
      <c r="J203" t="s">
        <v>66</v>
      </c>
      <c r="L203" t="str">
        <f t="shared" si="15"/>
        <v>Llama-3.3-70B-Instruct</v>
      </c>
      <c r="M203" t="str">
        <f t="shared" si="16"/>
        <v>Llama-3-70B-Instruct-Turbo m2</v>
      </c>
      <c r="N203">
        <f t="shared" si="17"/>
        <v>0</v>
      </c>
      <c r="O203">
        <f t="shared" si="18"/>
        <v>0</v>
      </c>
      <c r="P203" t="str">
        <f t="shared" si="19"/>
        <v>Llama-3-70B-Instruct-Turbo m2</v>
      </c>
    </row>
    <row r="204" spans="1:16" x14ac:dyDescent="0.35">
      <c r="A204" t="s">
        <v>83</v>
      </c>
      <c r="B204" t="s">
        <v>33</v>
      </c>
      <c r="C204">
        <v>0.73828125</v>
      </c>
      <c r="D204">
        <v>0.65625</v>
      </c>
      <c r="E204" s="1">
        <v>1.1141407000000001E-2</v>
      </c>
      <c r="F204" t="s">
        <v>12</v>
      </c>
      <c r="J204" t="s">
        <v>66</v>
      </c>
      <c r="L204" t="str">
        <f t="shared" si="15"/>
        <v>Llama-3.3-70B-Instruct</v>
      </c>
      <c r="M204" t="str">
        <f t="shared" si="16"/>
        <v>Llama-3.1-70B-Instruct-Turbo m2</v>
      </c>
      <c r="N204">
        <f t="shared" si="17"/>
        <v>0</v>
      </c>
      <c r="O204">
        <f t="shared" si="18"/>
        <v>0</v>
      </c>
      <c r="P204" t="str">
        <f t="shared" si="19"/>
        <v>Llama-3.1-70B-Instruct-Turbo m2</v>
      </c>
    </row>
    <row r="205" spans="1:16" x14ac:dyDescent="0.35">
      <c r="A205" t="s">
        <v>83</v>
      </c>
      <c r="B205" t="s">
        <v>35</v>
      </c>
      <c r="C205">
        <v>0.80859375</v>
      </c>
      <c r="D205">
        <v>0.69140625</v>
      </c>
      <c r="E205">
        <v>3.5795500000000002E-4</v>
      </c>
      <c r="F205" t="s">
        <v>12</v>
      </c>
      <c r="J205" t="s">
        <v>66</v>
      </c>
      <c r="L205" t="str">
        <f t="shared" si="15"/>
        <v>Llama-3.3-70B-Instruct</v>
      </c>
      <c r="M205" t="str">
        <f t="shared" si="16"/>
        <v>Llama-3.1-405B-Instruct-Turbo m2</v>
      </c>
      <c r="N205">
        <f t="shared" si="17"/>
        <v>0</v>
      </c>
      <c r="O205">
        <f t="shared" si="18"/>
        <v>0</v>
      </c>
      <c r="P205" t="str">
        <f t="shared" si="19"/>
        <v>Llama-3.1-405B-Instruct-Turbo m2</v>
      </c>
    </row>
    <row r="206" spans="1:16" x14ac:dyDescent="0.35">
      <c r="A206" t="s">
        <v>83</v>
      </c>
      <c r="B206" t="s">
        <v>37</v>
      </c>
      <c r="C206">
        <v>0.74609375</v>
      </c>
      <c r="D206">
        <v>0.66015625</v>
      </c>
      <c r="E206">
        <v>7.1487340000000003E-3</v>
      </c>
      <c r="F206" t="s">
        <v>12</v>
      </c>
      <c r="J206" t="s">
        <v>66</v>
      </c>
      <c r="L206" t="str">
        <f t="shared" si="15"/>
        <v>Llama-3.3-70B-Instruct</v>
      </c>
      <c r="M206" t="str">
        <f t="shared" si="16"/>
        <v>Llama-3.3-70B-Instruct-Turbo m2</v>
      </c>
      <c r="N206">
        <f t="shared" si="17"/>
        <v>0</v>
      </c>
      <c r="O206">
        <f t="shared" si="18"/>
        <v>0</v>
      </c>
      <c r="P206" t="str">
        <f t="shared" si="19"/>
        <v>Llama-3.3-70B-Instruct-Turbo m2</v>
      </c>
    </row>
    <row r="207" spans="1:16" x14ac:dyDescent="0.35">
      <c r="A207" t="s">
        <v>83</v>
      </c>
      <c r="B207" t="s">
        <v>39</v>
      </c>
      <c r="C207">
        <v>0.92578125</v>
      </c>
      <c r="D207">
        <v>0.77734375</v>
      </c>
      <c r="E207">
        <v>5.8499999999999999E-6</v>
      </c>
      <c r="F207" t="s">
        <v>12</v>
      </c>
      <c r="G207" t="s">
        <v>59</v>
      </c>
      <c r="J207" t="s">
        <v>66</v>
      </c>
      <c r="L207" t="str">
        <f t="shared" si="15"/>
        <v>Llama-3.3-70B-Instruct</v>
      </c>
      <c r="M207" t="str">
        <f t="shared" si="16"/>
        <v>7qLlama2-70B mixedprompt</v>
      </c>
      <c r="N207">
        <f t="shared" si="17"/>
        <v>2.34E-5</v>
      </c>
      <c r="O207" t="str">
        <f t="shared" si="18"/>
        <v>7q</v>
      </c>
      <c r="P207" t="str">
        <f t="shared" si="19"/>
        <v>Llama2-70B mixedprompt</v>
      </c>
    </row>
    <row r="208" spans="1:16" x14ac:dyDescent="0.35">
      <c r="A208" t="s">
        <v>83</v>
      </c>
      <c r="B208" t="s">
        <v>41</v>
      </c>
      <c r="C208">
        <v>0.875</v>
      </c>
      <c r="D208">
        <v>0.625</v>
      </c>
      <c r="E208" s="1">
        <v>6.0399999999999998E-10</v>
      </c>
      <c r="F208" t="s">
        <v>12</v>
      </c>
      <c r="G208" t="s">
        <v>59</v>
      </c>
      <c r="J208" t="s">
        <v>66</v>
      </c>
      <c r="L208" t="str">
        <f t="shared" si="15"/>
        <v>Llama-3.3-70B-Instruct</v>
      </c>
      <c r="M208" t="str">
        <f t="shared" si="16"/>
        <v>7qLlama2-13B-chat mixedprompt</v>
      </c>
      <c r="N208">
        <f t="shared" si="17"/>
        <v>4.8319999999999999E-9</v>
      </c>
      <c r="O208" t="str">
        <f t="shared" si="18"/>
        <v>7q</v>
      </c>
      <c r="P208" t="str">
        <f t="shared" si="19"/>
        <v>Llama2-13B-chat mixedprompt</v>
      </c>
    </row>
    <row r="209" spans="1:16" x14ac:dyDescent="0.35">
      <c r="A209" t="s">
        <v>83</v>
      </c>
      <c r="B209" t="s">
        <v>43</v>
      </c>
      <c r="C209">
        <v>0.96875</v>
      </c>
      <c r="D209">
        <v>0.89453125</v>
      </c>
      <c r="E209">
        <v>1.318727E-3</v>
      </c>
      <c r="F209" t="s">
        <v>12</v>
      </c>
      <c r="G209" t="s">
        <v>59</v>
      </c>
      <c r="J209" t="s">
        <v>25</v>
      </c>
      <c r="L209" t="str">
        <f t="shared" si="15"/>
        <v>GPT-Neo-1.3B m2</v>
      </c>
      <c r="M209" t="str">
        <f t="shared" si="16"/>
        <v>7qLlama-3.1-70B-Instruct-Turbo mixedprompt</v>
      </c>
      <c r="N209">
        <f t="shared" si="17"/>
        <v>2.637454E-3</v>
      </c>
      <c r="O209" t="str">
        <f t="shared" si="18"/>
        <v>7q</v>
      </c>
      <c r="P209" t="str">
        <f t="shared" si="19"/>
        <v>Llama-3.1-70B-Instruct-Turbo mixedprompt</v>
      </c>
    </row>
    <row r="210" spans="1:16" x14ac:dyDescent="0.35">
      <c r="A210" t="s">
        <v>83</v>
      </c>
      <c r="B210" t="s">
        <v>44</v>
      </c>
      <c r="C210">
        <v>0.9609375</v>
      </c>
      <c r="D210">
        <v>0.8984375</v>
      </c>
      <c r="E210">
        <v>7.0003670000000004E-3</v>
      </c>
      <c r="F210" t="s">
        <v>12</v>
      </c>
      <c r="G210" t="s">
        <v>59</v>
      </c>
      <c r="J210" t="s">
        <v>26</v>
      </c>
      <c r="L210" t="str">
        <f t="shared" si="15"/>
        <v>Llama2-7B m2</v>
      </c>
      <c r="M210" t="str">
        <f t="shared" si="16"/>
        <v>7qLlama-3.1-405B-Instruct-Turbo mixedprompt</v>
      </c>
      <c r="N210">
        <f t="shared" si="17"/>
        <v>1.1200587200000001E-2</v>
      </c>
      <c r="O210" t="str">
        <f t="shared" si="18"/>
        <v>7q</v>
      </c>
      <c r="P210" t="str">
        <f t="shared" si="19"/>
        <v>Llama-3.1-405B-Instruct-Turbo mixedprompt</v>
      </c>
    </row>
    <row r="211" spans="1:16" x14ac:dyDescent="0.35">
      <c r="A211" t="s">
        <v>83</v>
      </c>
      <c r="B211" t="s">
        <v>45</v>
      </c>
      <c r="C211">
        <v>0.9453125</v>
      </c>
      <c r="D211">
        <v>0.90625</v>
      </c>
      <c r="E211" s="1">
        <v>0.110184165</v>
      </c>
      <c r="F211" t="s">
        <v>12</v>
      </c>
      <c r="G211" t="s">
        <v>59</v>
      </c>
      <c r="J211" t="s">
        <v>27</v>
      </c>
      <c r="L211" t="str">
        <f t="shared" si="15"/>
        <v>Llama2-13B m2</v>
      </c>
      <c r="M211" t="str">
        <f t="shared" si="16"/>
        <v>7qLlama-3.3-70B-Instruct-Turbo mixedprompt</v>
      </c>
      <c r="N211">
        <f t="shared" si="17"/>
        <v>0.14691222000000001</v>
      </c>
      <c r="O211" t="str">
        <f t="shared" si="18"/>
        <v>7q</v>
      </c>
      <c r="P211" t="str">
        <f t="shared" si="19"/>
        <v>Llama-3.3-70B-Instruct-Turbo mixedprompt</v>
      </c>
    </row>
    <row r="212" spans="1:16" x14ac:dyDescent="0.35">
      <c r="A212" t="s">
        <v>83</v>
      </c>
      <c r="B212" t="s">
        <v>46</v>
      </c>
      <c r="C212">
        <v>0.96484375</v>
      </c>
      <c r="D212">
        <v>0.85546875</v>
      </c>
      <c r="E212">
        <v>2.5400000000000001E-5</v>
      </c>
      <c r="F212" t="s">
        <v>12</v>
      </c>
      <c r="G212" t="s">
        <v>59</v>
      </c>
      <c r="J212" t="s">
        <v>28</v>
      </c>
      <c r="L212" t="str">
        <f t="shared" si="15"/>
        <v>Llama2-70B m2</v>
      </c>
      <c r="M212" t="str">
        <f t="shared" si="16"/>
        <v>7qGPT-4o-mini mixedprompt</v>
      </c>
      <c r="N212">
        <f t="shared" si="17"/>
        <v>6.7733333333333304E-5</v>
      </c>
      <c r="O212" t="str">
        <f t="shared" si="18"/>
        <v>7q</v>
      </c>
      <c r="P212" t="str">
        <f t="shared" si="19"/>
        <v>GPT-4o-mini mixedprompt</v>
      </c>
    </row>
    <row r="213" spans="1:16" x14ac:dyDescent="0.35">
      <c r="A213" t="s">
        <v>83</v>
      </c>
      <c r="B213" t="s">
        <v>47</v>
      </c>
      <c r="C213">
        <v>0.96484375</v>
      </c>
      <c r="D213">
        <v>0.9375</v>
      </c>
      <c r="E213" s="1">
        <v>0.21003961600000001</v>
      </c>
      <c r="F213" t="s">
        <v>12</v>
      </c>
      <c r="G213" t="s">
        <v>59</v>
      </c>
      <c r="J213" t="s">
        <v>29</v>
      </c>
      <c r="L213" t="str">
        <f t="shared" si="15"/>
        <v>Llama2-7B-chat m2</v>
      </c>
      <c r="M213" t="str">
        <f t="shared" si="16"/>
        <v>7qGPT-4o mixedprompt</v>
      </c>
      <c r="N213">
        <f t="shared" si="17"/>
        <v>0.24004527542857099</v>
      </c>
      <c r="O213" t="str">
        <f t="shared" si="18"/>
        <v>7q</v>
      </c>
      <c r="P213" t="str">
        <f t="shared" si="19"/>
        <v>GPT-4o mixedprompt</v>
      </c>
    </row>
    <row r="214" spans="1:16" x14ac:dyDescent="0.35">
      <c r="A214" t="s">
        <v>83</v>
      </c>
      <c r="B214" t="s">
        <v>48</v>
      </c>
      <c r="C214">
        <v>0.94921875</v>
      </c>
      <c r="D214">
        <v>0.93359375</v>
      </c>
      <c r="E214">
        <v>0.58466471200000003</v>
      </c>
      <c r="F214" t="s">
        <v>12</v>
      </c>
      <c r="G214" t="s">
        <v>59</v>
      </c>
      <c r="J214" t="s">
        <v>30</v>
      </c>
      <c r="L214" t="str">
        <f t="shared" si="15"/>
        <v>Llama2-13B-chat m2</v>
      </c>
      <c r="M214" t="str">
        <f t="shared" si="16"/>
        <v>7qo1-mini mixedprompt</v>
      </c>
      <c r="N214">
        <f t="shared" si="17"/>
        <v>0.58466471200000003</v>
      </c>
      <c r="O214" t="str">
        <f t="shared" si="18"/>
        <v>7q</v>
      </c>
      <c r="P214" t="str">
        <f t="shared" si="19"/>
        <v>o1-mini mixedprompt</v>
      </c>
    </row>
    <row r="215" spans="1:16" x14ac:dyDescent="0.35">
      <c r="A215" t="s">
        <v>83</v>
      </c>
      <c r="B215" t="s">
        <v>34</v>
      </c>
      <c r="C215">
        <v>0.79166666699999999</v>
      </c>
      <c r="D215">
        <v>0.63671875</v>
      </c>
      <c r="E215" s="1">
        <v>9.0500000000000004E-12</v>
      </c>
      <c r="F215" t="s">
        <v>20</v>
      </c>
      <c r="G215" t="s">
        <v>50</v>
      </c>
      <c r="J215" t="s">
        <v>32</v>
      </c>
      <c r="L215" t="str">
        <f t="shared" si="15"/>
        <v>Llama-3-70B-Instruct-Turbo m2</v>
      </c>
      <c r="M215" t="str">
        <f t="shared" si="16"/>
        <v>7mLlama-3-70B-Instruct c</v>
      </c>
      <c r="N215">
        <f t="shared" si="17"/>
        <v>2.7150000000000001E-11</v>
      </c>
      <c r="O215" t="str">
        <f t="shared" si="18"/>
        <v>7m</v>
      </c>
      <c r="P215" t="str">
        <f t="shared" si="19"/>
        <v>Llama-3-70B-Instruct c</v>
      </c>
    </row>
    <row r="216" spans="1:16" x14ac:dyDescent="0.35">
      <c r="A216" t="s">
        <v>83</v>
      </c>
      <c r="B216" t="s">
        <v>49</v>
      </c>
      <c r="C216">
        <v>0.640625</v>
      </c>
      <c r="D216">
        <v>0.580078125</v>
      </c>
      <c r="E216">
        <v>2.3489767000000002E-2</v>
      </c>
      <c r="F216" t="s">
        <v>20</v>
      </c>
      <c r="J216" t="s">
        <v>33</v>
      </c>
      <c r="L216" t="str">
        <f t="shared" si="15"/>
        <v>Llama-3.1-70B-Instruct-Turbo m2</v>
      </c>
      <c r="M216" t="str">
        <f t="shared" si="16"/>
        <v>Llama-3-70B-Instruct cf</v>
      </c>
      <c r="N216">
        <f t="shared" si="17"/>
        <v>0</v>
      </c>
      <c r="O216">
        <f t="shared" si="18"/>
        <v>0</v>
      </c>
      <c r="P216" t="str">
        <f t="shared" si="19"/>
        <v>Llama-3-70B-Instruct cf</v>
      </c>
    </row>
    <row r="217" spans="1:16" x14ac:dyDescent="0.35">
      <c r="A217" t="s">
        <v>83</v>
      </c>
      <c r="B217" t="s">
        <v>36</v>
      </c>
      <c r="C217">
        <v>0.75260416699999999</v>
      </c>
      <c r="D217">
        <v>0.63932291699999999</v>
      </c>
      <c r="E217" s="1">
        <v>6.9699999999999995E-7</v>
      </c>
      <c r="F217" t="s">
        <v>20</v>
      </c>
      <c r="G217" t="s">
        <v>50</v>
      </c>
      <c r="J217" t="s">
        <v>35</v>
      </c>
      <c r="L217" t="str">
        <f t="shared" si="15"/>
        <v>Llama-3.1-405B-Instruct-Turbo m2</v>
      </c>
      <c r="M217" t="str">
        <f t="shared" si="16"/>
        <v>7mLlama-3.1-70B-Instruct c</v>
      </c>
      <c r="N217">
        <f t="shared" si="17"/>
        <v>8.3639999999999899E-7</v>
      </c>
      <c r="O217" t="str">
        <f t="shared" si="18"/>
        <v>7m</v>
      </c>
      <c r="P217" t="str">
        <f t="shared" si="19"/>
        <v>Llama-3.1-70B-Instruct c</v>
      </c>
    </row>
    <row r="218" spans="1:16" x14ac:dyDescent="0.35">
      <c r="A218" t="s">
        <v>83</v>
      </c>
      <c r="B218" t="s">
        <v>51</v>
      </c>
      <c r="C218">
        <v>0.603515625</v>
      </c>
      <c r="D218">
        <v>0.60546875</v>
      </c>
      <c r="E218">
        <v>0.47452045700000001</v>
      </c>
      <c r="F218" t="s">
        <v>20</v>
      </c>
      <c r="J218" t="s">
        <v>37</v>
      </c>
      <c r="L218" t="str">
        <f t="shared" si="15"/>
        <v>Llama-3.3-70B-Instruct-Turbo m2</v>
      </c>
      <c r="M218" t="str">
        <f t="shared" si="16"/>
        <v>Llama-3.1-70B-Instruct cf</v>
      </c>
      <c r="N218">
        <f t="shared" si="17"/>
        <v>0</v>
      </c>
      <c r="O218">
        <f t="shared" si="18"/>
        <v>0</v>
      </c>
      <c r="P218" t="str">
        <f t="shared" si="19"/>
        <v>Llama-3.1-70B-Instruct cf</v>
      </c>
    </row>
    <row r="219" spans="1:16" x14ac:dyDescent="0.35">
      <c r="A219" t="s">
        <v>83</v>
      </c>
      <c r="B219" t="s">
        <v>38</v>
      </c>
      <c r="C219">
        <v>0.80859375</v>
      </c>
      <c r="D219">
        <v>0.67708333300000001</v>
      </c>
      <c r="E219">
        <v>1.86E-9</v>
      </c>
      <c r="F219" t="s">
        <v>20</v>
      </c>
      <c r="G219" t="s">
        <v>50</v>
      </c>
      <c r="J219" t="s">
        <v>49</v>
      </c>
      <c r="L219" t="str">
        <f t="shared" ref="L219:L222" si="20">I219&amp;J219</f>
        <v>Llama-3-70B-Instruct cf</v>
      </c>
      <c r="M219" t="str">
        <f t="shared" ref="M219:M222" si="21">G219&amp;B219</f>
        <v>7mLlama-3.1-405B-Instruct c</v>
      </c>
      <c r="N219">
        <f t="shared" ref="N219:N222" si="22">INDEX(H:H,MATCH(M219,L:L,0))</f>
        <v>2.7900000000000001E-9</v>
      </c>
      <c r="O219" t="str">
        <f t="shared" ref="O219:O222" si="23">_xlfn.IFNA(INDEX(I:I,MATCH(M219,L:L,0)),"")</f>
        <v>7m</v>
      </c>
      <c r="P219" t="str">
        <f t="shared" ref="P219:P222" si="24">INDEX(J:J,MATCH(M219,L:L,0))</f>
        <v>Llama-3.1-405B-Instruct c</v>
      </c>
    </row>
    <row r="220" spans="1:16" x14ac:dyDescent="0.35">
      <c r="A220" t="s">
        <v>83</v>
      </c>
      <c r="B220" t="s">
        <v>52</v>
      </c>
      <c r="C220">
        <v>0.6796875</v>
      </c>
      <c r="D220">
        <v>0.625</v>
      </c>
      <c r="E220">
        <v>3.3078220999999998E-2</v>
      </c>
      <c r="F220" t="s">
        <v>20</v>
      </c>
      <c r="J220" t="s">
        <v>51</v>
      </c>
      <c r="L220" t="str">
        <f t="shared" si="20"/>
        <v>Llama-3.1-70B-Instruct cf</v>
      </c>
      <c r="M220" t="str">
        <f t="shared" si="21"/>
        <v>Llama-3.1-405B-Instruct cf</v>
      </c>
      <c r="N220">
        <f t="shared" si="22"/>
        <v>0</v>
      </c>
      <c r="O220">
        <f t="shared" si="23"/>
        <v>0</v>
      </c>
      <c r="P220" t="str">
        <f t="shared" si="24"/>
        <v>Llama-3.1-405B-Instruct cf</v>
      </c>
    </row>
    <row r="221" spans="1:16" x14ac:dyDescent="0.35">
      <c r="A221" t="s">
        <v>83</v>
      </c>
      <c r="B221" t="s">
        <v>40</v>
      </c>
      <c r="C221">
        <v>0.78125</v>
      </c>
      <c r="D221">
        <v>0.63671875</v>
      </c>
      <c r="E221">
        <v>2.26E-10</v>
      </c>
      <c r="F221" t="s">
        <v>20</v>
      </c>
      <c r="G221" t="s">
        <v>50</v>
      </c>
      <c r="J221" t="s">
        <v>52</v>
      </c>
      <c r="L221" t="str">
        <f t="shared" si="20"/>
        <v>Llama-3.1-405B-Instruct cf</v>
      </c>
      <c r="M221" t="str">
        <f t="shared" si="21"/>
        <v>7mLlama-3.3-70B-Instruct c</v>
      </c>
      <c r="N221">
        <f t="shared" si="22"/>
        <v>4.5199999999999999E-10</v>
      </c>
      <c r="O221" t="str">
        <f t="shared" si="23"/>
        <v>7m</v>
      </c>
      <c r="P221" t="str">
        <f t="shared" si="24"/>
        <v>Llama-3.3-70B-Instruct c</v>
      </c>
    </row>
    <row r="222" spans="1:16" x14ac:dyDescent="0.35">
      <c r="A222" t="s">
        <v>83</v>
      </c>
      <c r="B222" t="s">
        <v>53</v>
      </c>
      <c r="C222">
        <v>0.6171875</v>
      </c>
      <c r="D222">
        <v>0.611328125</v>
      </c>
      <c r="E222">
        <v>0.42363767200000002</v>
      </c>
      <c r="F222" t="s">
        <v>20</v>
      </c>
      <c r="J222" t="s">
        <v>53</v>
      </c>
      <c r="L222" t="str">
        <f t="shared" si="20"/>
        <v>Llama-3.3-70B-Instruct cf</v>
      </c>
      <c r="M222" t="str">
        <f t="shared" si="21"/>
        <v>Llama-3.3-70B-Instruct cf</v>
      </c>
      <c r="N222">
        <f t="shared" si="22"/>
        <v>0</v>
      </c>
      <c r="O222">
        <f t="shared" si="23"/>
        <v>0</v>
      </c>
      <c r="P222" t="str">
        <f t="shared" si="24"/>
        <v>Llama-3.3-70B-Instruct cf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stats_corrected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Jasmine Owers</cp:lastModifiedBy>
  <dcterms:created xsi:type="dcterms:W3CDTF">2026-01-19T14:43:32Z</dcterms:created>
  <dcterms:modified xsi:type="dcterms:W3CDTF">2026-02-05T13:46:25Z</dcterms:modified>
</cp:coreProperties>
</file>